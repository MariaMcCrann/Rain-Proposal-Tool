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340" windowWidth="23040" windowHeight="11180" tabRatio="600" firstSheet="0" activeTab="0" autoFilterDateGrouping="1"/>
  </bookViews>
  <sheets>
    <sheet xmlns:r="http://schemas.openxmlformats.org/officeDocument/2006/relationships" name="Rain Fee" sheetId="1" state="visible" r:id="rId1"/>
    <sheet xmlns:r="http://schemas.openxmlformats.org/officeDocument/2006/relationships" name="Invoicing" sheetId="2" state="visible" r:id="rId2"/>
    <sheet xmlns:r="http://schemas.openxmlformats.org/officeDocument/2006/relationships" name="Sub-Consultan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&quot;$&quot;#,##0;[Red]\-&quot;$&quot;#,##0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color theme="1"/>
      <sz val="11"/>
    </font>
    <font>
      <name val="Arial"/>
      <family val="2"/>
      <b val="1"/>
      <color rgb="FFC87818"/>
      <sz val="11"/>
    </font>
    <font>
      <name val="Arial"/>
      <family val="2"/>
      <color rgb="FF587095"/>
      <sz val="11"/>
    </font>
    <font>
      <name val="Arial"/>
      <family val="2"/>
      <color rgb="FFC87818"/>
      <sz val="11"/>
    </font>
    <font>
      <name val="Arial"/>
      <family val="2"/>
      <b val="1"/>
      <color theme="1"/>
      <sz val="18"/>
    </font>
    <font>
      <name val="Arial"/>
      <family val="2"/>
      <b val="1"/>
      <color rgb="FFC87818"/>
      <sz val="18"/>
    </font>
    <font>
      <name val="Arial"/>
      <family val="2"/>
      <b val="1"/>
      <color theme="1"/>
      <sz val="12"/>
    </font>
    <font>
      <name val="Arial"/>
      <family val="2"/>
      <b val="1"/>
      <color rgb="FFE35205"/>
      <sz val="11"/>
    </font>
    <font>
      <name val="Arial"/>
      <family val="2"/>
      <color rgb="FF009CA6"/>
      <sz val="11"/>
    </font>
    <font>
      <name val="Arial"/>
      <family val="2"/>
      <color rgb="FFE35205"/>
      <sz val="11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2"/>
    </font>
    <font>
      <name val="Arial"/>
      <family val="2"/>
      <color theme="1"/>
      <sz val="16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1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0" borderId="0" pivotButton="0" quotePrefix="0" xfId="2"/>
    <xf numFmtId="164" fontId="3" fillId="0" borderId="0" pivotButton="0" quotePrefix="0" xfId="1"/>
    <xf numFmtId="0" fontId="4" fillId="0" borderId="22" pivotButton="0" quotePrefix="0" xfId="0"/>
    <xf numFmtId="0" fontId="4" fillId="0" borderId="6" pivotButton="0" quotePrefix="0" xfId="0"/>
    <xf numFmtId="0" fontId="4" fillId="0" borderId="15" applyAlignment="1" pivotButton="0" quotePrefix="0" xfId="0">
      <alignment horizontal="center"/>
    </xf>
    <xf numFmtId="9" fontId="4" fillId="0" borderId="22" pivotButton="0" quotePrefix="0" xfId="2"/>
    <xf numFmtId="164" fontId="4" fillId="0" borderId="23" pivotButton="0" quotePrefix="0" xfId="1"/>
    <xf numFmtId="0" fontId="4" fillId="0" borderId="23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165" fontId="3" fillId="0" borderId="8" applyAlignment="1" pivotButton="0" quotePrefix="0" xfId="1">
      <alignment horizontal="center"/>
    </xf>
    <xf numFmtId="9" fontId="3" fillId="0" borderId="4" pivotButton="0" quotePrefix="0" xfId="2"/>
    <xf numFmtId="164" fontId="3" fillId="0" borderId="18" pivotButton="0" quotePrefix="0" xfId="1"/>
    <xf numFmtId="0" fontId="4" fillId="0" borderId="12" pivotButton="0" quotePrefix="0" xfId="0"/>
    <xf numFmtId="0" fontId="4" fillId="0" borderId="13" pivotButton="0" quotePrefix="0" xfId="0"/>
    <xf numFmtId="165" fontId="4" fillId="0" borderId="16" pivotButton="0" quotePrefix="0" xfId="0"/>
    <xf numFmtId="9" fontId="4" fillId="0" borderId="20" pivotButton="0" quotePrefix="0" xfId="2"/>
    <xf numFmtId="164" fontId="4" fillId="0" borderId="21" pivotButton="0" quotePrefix="0" xfId="1"/>
    <xf numFmtId="0" fontId="6" fillId="0" borderId="0" pivotButton="0" quotePrefix="0" xfId="0"/>
    <xf numFmtId="0" fontId="4" fillId="0" borderId="4" pivotButton="0" quotePrefix="0" xfId="0"/>
    <xf numFmtId="0" fontId="4" fillId="0" borderId="1" pivotButton="0" quotePrefix="0" xfId="0"/>
    <xf numFmtId="165" fontId="3" fillId="0" borderId="1" applyAlignment="1" pivotButton="0" quotePrefix="0" xfId="1">
      <alignment horizontal="center"/>
    </xf>
    <xf numFmtId="9" fontId="3" fillId="0" borderId="9" pivotButton="0" quotePrefix="0" xfId="2"/>
    <xf numFmtId="9" fontId="3" fillId="0" borderId="33" pivotButton="0" quotePrefix="0" xfId="2"/>
    <xf numFmtId="0" fontId="7" fillId="0" borderId="0" pivotButton="0" quotePrefix="0" xfId="0"/>
    <xf numFmtId="166" fontId="4" fillId="0" borderId="0" applyAlignment="1" pivotButton="0" quotePrefix="0" xfId="0">
      <alignment horizontal="center"/>
    </xf>
    <xf numFmtId="0" fontId="9" fillId="0" borderId="0" pivotButton="0" quotePrefix="0" xfId="0"/>
    <xf numFmtId="166" fontId="4" fillId="0" borderId="0" pivotButton="0" quotePrefix="0" xfId="0"/>
    <xf numFmtId="166" fontId="10" fillId="0" borderId="0" pivotButton="0" quotePrefix="0" xfId="0"/>
    <xf numFmtId="0" fontId="6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11" fillId="0" borderId="1" pivotButton="0" quotePrefix="0" xfId="0"/>
    <xf numFmtId="0" fontId="6" fillId="0" borderId="1" pivotButton="0" quotePrefix="0" xfId="0"/>
    <xf numFmtId="0" fontId="12" fillId="0" borderId="1" applyAlignment="1" pivotButton="0" quotePrefix="0" xfId="0">
      <alignment horizontal="center"/>
    </xf>
    <xf numFmtId="0" fontId="13" fillId="0" borderId="12" pivotButton="0" quotePrefix="0" xfId="0"/>
    <xf numFmtId="0" fontId="10" fillId="0" borderId="13" pivotButton="0" quotePrefix="0" xfId="0"/>
    <xf numFmtId="0" fontId="13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165" fontId="10" fillId="0" borderId="0" pivotButton="0" quotePrefix="0" xfId="0"/>
    <xf numFmtId="0" fontId="11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center" vertical="center"/>
    </xf>
    <xf numFmtId="164" fontId="15" fillId="0" borderId="0" pivotButton="0" quotePrefix="0" xfId="1"/>
    <xf numFmtId="164" fontId="4" fillId="0" borderId="32" applyAlignment="1" pivotButton="0" quotePrefix="0" xfId="1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8" pivotButton="0" quotePrefix="0" xfId="0"/>
    <xf numFmtId="164" fontId="4" fillId="0" borderId="31" applyAlignment="1" pivotButton="0" quotePrefix="0" xfId="1">
      <alignment horizontal="center"/>
    </xf>
    <xf numFmtId="0" fontId="4" fillId="0" borderId="30" applyAlignment="1" pivotButton="0" quotePrefix="0" xfId="0">
      <alignment horizontal="center"/>
    </xf>
    <xf numFmtId="0" fontId="5" fillId="0" borderId="4" pivotButton="0" quotePrefix="0" xfId="0"/>
    <xf numFmtId="0" fontId="5" fillId="0" borderId="18" applyAlignment="1" pivotButton="0" quotePrefix="0" xfId="0">
      <alignment wrapText="1"/>
    </xf>
    <xf numFmtId="164" fontId="3" fillId="0" borderId="31" applyAlignment="1" pivotButton="0" quotePrefix="0" xfId="1">
      <alignment horizontal="center"/>
    </xf>
    <xf numFmtId="164" fontId="3" fillId="0" borderId="30" applyAlignment="1" pivotButton="0" quotePrefix="0" xfId="1">
      <alignment horizontal="center"/>
    </xf>
    <xf numFmtId="0" fontId="4" fillId="0" borderId="14" pivotButton="0" quotePrefix="0" xfId="0"/>
    <xf numFmtId="164" fontId="4" fillId="0" borderId="19" pivotButton="0" quotePrefix="0" xfId="1"/>
    <xf numFmtId="166" fontId="8" fillId="0" borderId="0" pivotButton="0" quotePrefix="0" xfId="0"/>
    <xf numFmtId="164" fontId="3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4" pivotButton="0" quotePrefix="0" xfId="0"/>
    <xf numFmtId="0" fontId="4" fillId="0" borderId="2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4" fillId="0" borderId="14" applyAlignment="1" pivotButton="0" quotePrefix="0" xfId="0">
      <alignment horizontal="center" wrapText="1"/>
    </xf>
    <xf numFmtId="0" fontId="4" fillId="0" borderId="26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7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166" fontId="4" fillId="0" borderId="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166" fontId="4" fillId="0" borderId="10" applyAlignment="1" pivotButton="0" quotePrefix="0" xfId="0">
      <alignment horizontal="center"/>
    </xf>
    <xf numFmtId="166" fontId="4" fillId="0" borderId="11" applyAlignment="1" pivotButton="0" quotePrefix="0" xfId="0">
      <alignment horizontal="center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wrapText="1"/>
    </xf>
    <xf numFmtId="166" fontId="4" fillId="0" borderId="0" applyAlignment="1" pivotButton="0" quotePrefix="0" xfId="0">
      <alignment horizontal="left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6" fontId="8" fillId="0" borderId="0" pivotButton="0" quotePrefix="0" xfId="0"/>
    <xf numFmtId="166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left"/>
    </xf>
    <xf numFmtId="166" fontId="4" fillId="0" borderId="0" pivotButton="0" quotePrefix="0" xfId="0"/>
    <xf numFmtId="166" fontId="10" fillId="0" borderId="0" pivotButton="0" quotePrefix="0" xfId="0"/>
    <xf numFmtId="0" fontId="0" fillId="0" borderId="36" pivotButton="0" quotePrefix="0" xfId="0"/>
    <xf numFmtId="166" fontId="4" fillId="0" borderId="3" applyAlignment="1" pivotButton="0" quotePrefix="0" xfId="0">
      <alignment horizontal="center"/>
    </xf>
    <xf numFmtId="0" fontId="0" fillId="0" borderId="11" pivotButton="0" quotePrefix="0" xfId="0"/>
    <xf numFmtId="0" fontId="4" fillId="0" borderId="3" applyAlignment="1" pivotButton="0" quotePrefix="0" xfId="0">
      <alignment horizont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6" pivotButton="0" quotePrefix="0" xfId="0"/>
    <xf numFmtId="0" fontId="2" fillId="0" borderId="1" pivotButton="0" quotePrefix="0" xfId="0"/>
    <xf numFmtId="166" fontId="3" fillId="0" borderId="1" applyAlignment="1" pivotButton="0" quotePrefix="0" xfId="0">
      <alignment horizontal="center"/>
    </xf>
    <xf numFmtId="165" fontId="3" fillId="0" borderId="1" applyAlignment="1" pivotButton="0" quotePrefix="0" xfId="1">
      <alignment horizontal="center"/>
    </xf>
    <xf numFmtId="165" fontId="10" fillId="0" borderId="0" pivotButton="0" quotePrefix="0" xfId="0"/>
    <xf numFmtId="165" fontId="4" fillId="0" borderId="14" pivotButton="0" quotePrefix="0" xfId="0"/>
    <xf numFmtId="164" fontId="3" fillId="0" borderId="0" pivotButton="0" quotePrefix="0" xfId="1"/>
    <xf numFmtId="0" fontId="4" fillId="0" borderId="42" applyAlignment="1" pivotButton="0" quotePrefix="0" xfId="0">
      <alignment horizontal="center" wrapText="1"/>
    </xf>
    <xf numFmtId="0" fontId="0" fillId="0" borderId="25" pivotButton="0" quotePrefix="0" xfId="0"/>
    <xf numFmtId="0" fontId="0" fillId="0" borderId="14" pivotButton="0" quotePrefix="0" xfId="0"/>
    <xf numFmtId="164" fontId="4" fillId="0" borderId="23" pivotButton="0" quotePrefix="0" xfId="1"/>
    <xf numFmtId="165" fontId="3" fillId="0" borderId="8" applyAlignment="1" pivotButton="0" quotePrefix="0" xfId="1">
      <alignment horizontal="center"/>
    </xf>
    <xf numFmtId="164" fontId="3" fillId="0" borderId="18" pivotButton="0" quotePrefix="0" xfId="1"/>
    <xf numFmtId="164" fontId="3" fillId="0" borderId="1" pivotButton="0" quotePrefix="0" xfId="0"/>
    <xf numFmtId="165" fontId="4" fillId="0" borderId="16" pivotButton="0" quotePrefix="0" xfId="0"/>
    <xf numFmtId="164" fontId="4" fillId="0" borderId="21" pivotButton="0" quotePrefix="0" xfId="1"/>
    <xf numFmtId="164" fontId="15" fillId="0" borderId="0" pivotButton="0" quotePrefix="0" xfId="1"/>
    <xf numFmtId="0" fontId="4" fillId="0" borderId="43" applyAlignment="1" pivotButton="0" quotePrefix="0" xfId="0">
      <alignment horizontal="center" vertical="center"/>
    </xf>
    <xf numFmtId="0" fontId="0" fillId="0" borderId="28" pivotButton="0" quotePrefix="0" xfId="0"/>
    <xf numFmtId="164" fontId="4" fillId="0" borderId="32" applyAlignment="1" pivotButton="0" quotePrefix="0" xfId="1">
      <alignment horizontal="center" vertical="center"/>
    </xf>
    <xf numFmtId="164" fontId="4" fillId="0" borderId="31" applyAlignment="1" pivotButton="0" quotePrefix="0" xfId="1">
      <alignment horizontal="center"/>
    </xf>
    <xf numFmtId="164" fontId="3" fillId="0" borderId="31" applyAlignment="1" pivotButton="0" quotePrefix="0" xfId="1">
      <alignment horizontal="center"/>
    </xf>
    <xf numFmtId="164" fontId="3" fillId="0" borderId="30" applyAlignment="1" pivotButton="0" quotePrefix="0" xfId="1">
      <alignment horizontal="center"/>
    </xf>
    <xf numFmtId="164" fontId="4" fillId="0" borderId="19" pivotButton="0" quotePrefix="0" xfId="1"/>
  </cellXfs>
  <cellStyles count="3">
    <cellStyle name="Normal" xfId="0" builtinId="0"/>
    <cellStyle name="Currency" xfId="1" builtinId="4"/>
    <cellStyle name="Percent" xfId="2" builtinId="5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"/>
  <sheetViews>
    <sheetView tabSelected="1" zoomScale="70" zoomScaleNormal="70" workbookViewId="0">
      <selection activeCell="F28" sqref="F28"/>
    </sheetView>
  </sheetViews>
  <sheetFormatPr baseColWidth="8" defaultColWidth="29.7265625" defaultRowHeight="14"/>
  <cols>
    <col width="6" bestFit="1" customWidth="1" style="2" min="1" max="1"/>
    <col width="44.453125" customWidth="1" style="2" min="2" max="2"/>
    <col width="8.26953125" customWidth="1" style="21" min="3" max="3"/>
    <col width="22" customWidth="1" style="2" min="4" max="4"/>
    <col width="8.26953125" bestFit="1" customWidth="1" style="21" min="5" max="5"/>
    <col width="22" customWidth="1" style="2" min="6" max="6"/>
    <col width="6.81640625" customWidth="1" style="21" min="7" max="7"/>
    <col width="18.26953125" customWidth="1" style="2" min="8" max="8"/>
    <col width="8.26953125" customWidth="1" style="21" min="9" max="9"/>
    <col width="18.26953125" customWidth="1" style="2" min="10" max="10"/>
    <col width="8.26953125" customWidth="1" style="21" min="11" max="11"/>
    <col width="20.7265625" customWidth="1" style="2" min="12" max="12"/>
    <col width="6.81640625" customWidth="1" style="21" min="13" max="13"/>
    <col width="18.26953125" customWidth="1" style="2" min="14" max="14"/>
    <col width="8.26953125" customWidth="1" style="21" min="15" max="15"/>
    <col width="15" customWidth="1" style="2" min="16" max="16"/>
    <col width="15" customWidth="1" style="21" min="17" max="17"/>
    <col width="15" customWidth="1" style="2" min="18" max="18"/>
    <col width="8.26953125" customWidth="1" style="21" min="19" max="19"/>
    <col width="18.26953125" customWidth="1" style="2" min="20" max="20"/>
    <col width="8.26953125" customWidth="1" style="21" min="21" max="21"/>
    <col width="18.26953125" customWidth="1" style="2" min="22" max="22"/>
    <col width="29.7265625" customWidth="1" style="2" min="23" max="16384"/>
  </cols>
  <sheetData>
    <row r="1" ht="23" customHeight="1">
      <c r="B1" s="27" t="inlineStr">
        <is>
          <t>Project:</t>
        </is>
      </c>
      <c r="C1" s="88" t="inlineStr">
        <is>
          <t>&lt;insert prject name&gt;</t>
        </is>
      </c>
      <c r="D1" s="88" t="n"/>
      <c r="E1" s="88" t="n"/>
    </row>
    <row r="2" ht="23" customHeight="1">
      <c r="B2" s="27" t="inlineStr">
        <is>
          <t>Project Number:</t>
        </is>
      </c>
      <c r="C2" s="88" t="inlineStr">
        <is>
          <t>&lt;insert prject name&gt;</t>
        </is>
      </c>
      <c r="D2" s="88" t="n"/>
      <c r="E2" s="88" t="n"/>
    </row>
    <row r="3" ht="10.5" customHeight="1">
      <c r="B3" s="1" t="n"/>
      <c r="C3" s="89" t="n"/>
      <c r="D3" s="89" t="n"/>
    </row>
    <row r="4" ht="20" customHeight="1">
      <c r="B4" s="29" t="inlineStr">
        <is>
          <t>Purchase Order (main works):</t>
        </is>
      </c>
      <c r="C4" s="90" t="inlineStr">
        <is>
          <t>&lt;insert PO number&gt;</t>
        </is>
      </c>
      <c r="F4" s="1" t="n"/>
      <c r="I4" s="91" t="n"/>
      <c r="L4" s="92" t="n"/>
    </row>
    <row r="5" ht="20" customHeight="1">
      <c r="B5" s="29" t="inlineStr">
        <is>
          <t>Purchase Order (variation 1):</t>
        </is>
      </c>
      <c r="C5" s="90" t="inlineStr">
        <is>
          <t>&lt;insert PO number&gt;</t>
        </is>
      </c>
      <c r="F5" s="1" t="n"/>
      <c r="I5" s="91" t="n"/>
      <c r="L5" s="92" t="n"/>
    </row>
    <row r="6" ht="15.5" customHeight="1">
      <c r="B6" s="29" t="inlineStr">
        <is>
          <t>Payment Terms:</t>
        </is>
      </c>
      <c r="C6" s="90" t="inlineStr">
        <is>
          <t>&lt;insert number of days&gt;</t>
        </is>
      </c>
    </row>
    <row r="7" ht="14.5" customHeight="1" thickBot="1"/>
    <row r="8">
      <c r="A8" s="62" t="inlineStr">
        <is>
          <t>Task</t>
        </is>
      </c>
      <c r="B8" s="93" t="n"/>
      <c r="C8" s="94" t="n">
        <v>400</v>
      </c>
      <c r="D8" s="95" t="n"/>
      <c r="E8" s="94" t="n">
        <v>400</v>
      </c>
      <c r="F8" s="95" t="n"/>
      <c r="G8" s="94" t="n">
        <v>400</v>
      </c>
      <c r="H8" s="95" t="n"/>
      <c r="I8" s="94" t="n">
        <v>320</v>
      </c>
      <c r="J8" s="95" t="n"/>
      <c r="K8" s="94" t="n">
        <v>320</v>
      </c>
      <c r="L8" s="95" t="n"/>
      <c r="M8" s="94" t="n">
        <v>250</v>
      </c>
      <c r="N8" s="95" t="n"/>
      <c r="O8" s="94" t="n">
        <v>220</v>
      </c>
      <c r="P8" s="95" t="n"/>
      <c r="Q8" s="94" t="n">
        <v>180</v>
      </c>
      <c r="R8" s="95" t="n"/>
      <c r="S8" s="94" t="n">
        <v>180</v>
      </c>
      <c r="T8" s="95" t="n"/>
      <c r="U8" s="94" t="n">
        <v>200</v>
      </c>
      <c r="V8" s="95" t="n"/>
      <c r="W8" s="96" t="inlineStr">
        <is>
          <t>Expenses</t>
        </is>
      </c>
      <c r="X8" s="96" t="inlineStr">
        <is>
          <t>Sub Totals</t>
        </is>
      </c>
    </row>
    <row r="9">
      <c r="A9" s="97" t="n"/>
      <c r="B9" s="98" t="n"/>
      <c r="C9" s="69" t="inlineStr">
        <is>
          <t>Rianda Mills</t>
        </is>
      </c>
      <c r="D9" s="99" t="n"/>
      <c r="E9" s="69" t="inlineStr">
        <is>
          <t>Luke Cunningham</t>
        </is>
      </c>
      <c r="F9" s="99" t="n"/>
      <c r="G9" s="69" t="inlineStr">
        <is>
          <t>Jessica Ward</t>
        </is>
      </c>
      <c r="H9" s="99" t="n"/>
      <c r="I9" s="69" t="inlineStr">
        <is>
          <t>Maria McCrann</t>
        </is>
      </c>
      <c r="J9" s="99" t="n"/>
      <c r="K9" s="69" t="inlineStr">
        <is>
          <t>Milan Wickramarachchi</t>
        </is>
      </c>
      <c r="L9" s="99" t="n"/>
      <c r="M9" s="69" t="inlineStr">
        <is>
          <t>Amin Zarrin</t>
        </is>
      </c>
      <c r="N9" s="99" t="n"/>
      <c r="O9" s="69" t="inlineStr">
        <is>
          <t>Samantha Nieves</t>
        </is>
      </c>
      <c r="P9" s="99" t="n"/>
      <c r="Q9" s="69" t="inlineStr">
        <is>
          <t>Emily Felstead</t>
        </is>
      </c>
      <c r="R9" s="99" t="n"/>
      <c r="S9" s="69" t="inlineStr">
        <is>
          <t>Holly Edmunds</t>
        </is>
      </c>
      <c r="T9" s="99" t="n"/>
      <c r="U9" s="69" t="inlineStr">
        <is>
          <t>Danni Bailey</t>
        </is>
      </c>
      <c r="V9" s="99" t="n"/>
      <c r="W9" s="100" t="n"/>
      <c r="X9" s="100" t="n"/>
    </row>
    <row r="10" ht="35.15" customHeight="1">
      <c r="A10" s="101" t="n"/>
      <c r="B10" s="102" t="n"/>
      <c r="C10" s="77" t="inlineStr">
        <is>
          <t>Director &amp; Principal Engineer</t>
        </is>
      </c>
      <c r="D10" s="99" t="n"/>
      <c r="E10" s="77" t="inlineStr">
        <is>
          <t>Director &amp; Principal Engineer</t>
        </is>
      </c>
      <c r="F10" s="99" t="n"/>
      <c r="G10" s="77" t="inlineStr">
        <is>
          <t>Hydrologist and Technician</t>
        </is>
      </c>
      <c r="H10" s="99" t="n"/>
      <c r="I10" s="77" t="inlineStr">
        <is>
          <t>Senior Engineer</t>
        </is>
      </c>
      <c r="J10" s="99" t="n"/>
      <c r="K10" s="77" t="inlineStr">
        <is>
          <t>Senior Engineer</t>
        </is>
      </c>
      <c r="L10" s="99" t="n"/>
      <c r="M10" s="77" t="inlineStr">
        <is>
          <t>Project Engineer</t>
        </is>
      </c>
      <c r="N10" s="99" t="n"/>
      <c r="O10" s="77" t="inlineStr">
        <is>
          <t>Graduate Scientist</t>
        </is>
      </c>
      <c r="P10" s="99" t="n"/>
      <c r="Q10" s="77" t="inlineStr">
        <is>
          <t>Graduate Engineer</t>
        </is>
      </c>
      <c r="R10" s="99" t="n"/>
      <c r="S10" s="77" t="inlineStr">
        <is>
          <t>Executive Assistant</t>
        </is>
      </c>
      <c r="T10" s="99" t="n"/>
      <c r="U10" s="77" t="inlineStr">
        <is>
          <t>Operations Coordinator</t>
        </is>
      </c>
      <c r="V10" s="99" t="n"/>
      <c r="W10" s="103" t="n"/>
      <c r="X10" s="103" t="n"/>
    </row>
    <row r="11">
      <c r="A11" s="22" t="inlineStr">
        <is>
          <t>Item</t>
        </is>
      </c>
      <c r="B11" s="23" t="inlineStr">
        <is>
          <t>Description</t>
        </is>
      </c>
      <c r="C11" s="69" t="inlineStr">
        <is>
          <t>Hours</t>
        </is>
      </c>
      <c r="D11" s="69" t="inlineStr">
        <is>
          <t>Fee (Exc. GST)</t>
        </is>
      </c>
      <c r="E11" s="69" t="inlineStr">
        <is>
          <t>Hours</t>
        </is>
      </c>
      <c r="F11" s="69" t="inlineStr">
        <is>
          <t>Fee (Exc. GST)</t>
        </is>
      </c>
      <c r="G11" s="69" t="inlineStr">
        <is>
          <t>Hours</t>
        </is>
      </c>
      <c r="H11" s="69" t="inlineStr">
        <is>
          <t>Fee (Exc. GST)</t>
        </is>
      </c>
      <c r="I11" s="69" t="inlineStr">
        <is>
          <t>Hours</t>
        </is>
      </c>
      <c r="J11" s="69" t="inlineStr">
        <is>
          <t>Fee (Exc. GST)</t>
        </is>
      </c>
      <c r="K11" s="69" t="inlineStr">
        <is>
          <t>Hours</t>
        </is>
      </c>
      <c r="L11" s="69" t="inlineStr">
        <is>
          <t>Fee (Exc. GST)</t>
        </is>
      </c>
      <c r="M11" s="69" t="inlineStr">
        <is>
          <t>Hours</t>
        </is>
      </c>
      <c r="N11" s="69" t="inlineStr">
        <is>
          <t>Fee (Exc. GST)</t>
        </is>
      </c>
      <c r="O11" s="69" t="inlineStr">
        <is>
          <t>Hours</t>
        </is>
      </c>
      <c r="P11" s="69" t="inlineStr">
        <is>
          <t>Fee (Exc. GST)</t>
        </is>
      </c>
      <c r="Q11" s="69" t="inlineStr">
        <is>
          <t>Hours</t>
        </is>
      </c>
      <c r="R11" s="69" t="inlineStr">
        <is>
          <t>Fee (Exc. GST)</t>
        </is>
      </c>
      <c r="S11" s="69" t="inlineStr">
        <is>
          <t>Hours</t>
        </is>
      </c>
      <c r="T11" s="69" t="inlineStr">
        <is>
          <t>Fee (Exc. GST)</t>
        </is>
      </c>
      <c r="U11" s="69" t="inlineStr">
        <is>
          <t>Hours</t>
        </is>
      </c>
      <c r="V11" s="69" t="inlineStr">
        <is>
          <t>Fee (Exc. GST)</t>
        </is>
      </c>
      <c r="W11" s="69" t="inlineStr">
        <is>
          <t>Fee (Exc. GST)</t>
        </is>
      </c>
      <c r="X11" s="69" t="inlineStr">
        <is>
          <t>Exc. GST</t>
        </is>
      </c>
    </row>
    <row r="12">
      <c r="A12" s="11" t="n"/>
      <c r="B12" s="104" t="inlineStr">
        <is>
          <t>Phase 3.1 – Drainage and Stormwater Management Strategy (CCMA and CoGG approval)</t>
        </is>
      </c>
      <c r="C12" s="32" t="n"/>
      <c r="D12" s="105" t="n"/>
      <c r="E12" s="32" t="n"/>
      <c r="F12" s="105" t="n"/>
      <c r="G12" s="32" t="n"/>
      <c r="H12" s="105" t="n"/>
      <c r="I12" s="32" t="n"/>
      <c r="J12" s="105" t="n"/>
      <c r="K12" s="32" t="n"/>
      <c r="L12" s="105" t="n"/>
      <c r="M12" s="32" t="n"/>
      <c r="N12" s="105" t="n"/>
      <c r="O12" s="32" t="n"/>
      <c r="P12" s="105" t="n"/>
      <c r="Q12" s="32" t="n"/>
      <c r="R12" s="105" t="n"/>
      <c r="S12" s="32" t="n"/>
      <c r="T12" s="105" t="n"/>
      <c r="U12" s="32" t="n"/>
      <c r="V12" s="105" t="n"/>
      <c r="W12" s="105" t="n"/>
      <c r="X12" s="106" t="n"/>
    </row>
    <row r="13">
      <c r="A13" s="11" t="n">
        <v>1</v>
      </c>
      <c r="B13" s="11" t="inlineStr">
        <is>
          <t>Review of existing strategies and background reports</t>
        </is>
      </c>
      <c r="C13" s="32" t="n"/>
      <c r="D13" s="105">
        <f>C13*C$8</f>
        <v/>
      </c>
      <c r="E13" s="32" t="n"/>
      <c r="F13" s="105">
        <f>E13*E$8</f>
        <v/>
      </c>
      <c r="G13" s="32" t="n"/>
      <c r="H13" s="105">
        <f>G13*G$8</f>
        <v/>
      </c>
      <c r="I13" s="32" t="n"/>
      <c r="J13" s="105">
        <f>I13*I$8</f>
        <v/>
      </c>
      <c r="K13" s="32" t="n"/>
      <c r="L13" s="105">
        <f>K13*K$8</f>
        <v/>
      </c>
      <c r="M13" s="32" t="n"/>
      <c r="N13" s="105">
        <f>M13*M$8</f>
        <v/>
      </c>
      <c r="O13" s="32" t="n"/>
      <c r="P13" s="105">
        <f>O13*O$8</f>
        <v/>
      </c>
      <c r="Q13" s="32" t="n"/>
      <c r="R13" s="105">
        <f>Q13*Q$8</f>
        <v/>
      </c>
      <c r="S13" s="32" t="n"/>
      <c r="T13" s="105">
        <f>S13*S$8</f>
        <v/>
      </c>
      <c r="U13" s="32" t="n"/>
      <c r="V13" s="105">
        <f>U13*U$8</f>
        <v/>
      </c>
      <c r="W13" s="105" t="n"/>
      <c r="X13" s="106">
        <f>(SUM(W13+D13+F13+H13+J13+L13+N13+P13+R13+T13+V13))</f>
        <v/>
      </c>
    </row>
    <row r="14">
      <c r="A14" s="11" t="n">
        <v>2</v>
      </c>
      <c r="B14" s="11" t="inlineStr">
        <is>
          <t>GAP analysis and review of available LiDAR, survey, aerial imagery, and existing infrastructure</t>
        </is>
      </c>
      <c r="C14" s="32" t="n"/>
      <c r="D14" s="105">
        <f>C14*C$8</f>
        <v/>
      </c>
      <c r="E14" s="32" t="n"/>
      <c r="F14" s="105">
        <f>E14*E$8</f>
        <v/>
      </c>
      <c r="G14" s="32" t="n"/>
      <c r="H14" s="105">
        <f>G14*G$8</f>
        <v/>
      </c>
      <c r="I14" s="32" t="n"/>
      <c r="J14" s="105">
        <f>I14*I$8</f>
        <v/>
      </c>
      <c r="K14" s="32" t="n"/>
      <c r="L14" s="105">
        <f>K14*K$8</f>
        <v/>
      </c>
      <c r="M14" s="32" t="n"/>
      <c r="N14" s="105">
        <f>M14*M$8</f>
        <v/>
      </c>
      <c r="O14" s="32" t="n"/>
      <c r="P14" s="105">
        <f>O14*O$8</f>
        <v/>
      </c>
      <c r="Q14" s="32" t="n"/>
      <c r="R14" s="105">
        <f>Q14*Q$8</f>
        <v/>
      </c>
      <c r="S14" s="32" t="n"/>
      <c r="T14" s="105">
        <f>S14*S$8</f>
        <v/>
      </c>
      <c r="U14" s="32" t="n"/>
      <c r="V14" s="105">
        <f>U14*U$8</f>
        <v/>
      </c>
      <c r="W14" s="105" t="n"/>
      <c r="X14" s="106">
        <f>(SUM(W14+D14+F14+H14+J14+L14+N14+P14+R14+T14+V14))</f>
        <v/>
      </c>
    </row>
    <row r="15" ht="18.65" customHeight="1">
      <c r="A15" s="11" t="n">
        <v>3</v>
      </c>
      <c r="B15" s="11" t="inlineStr">
        <is>
          <t>Update Catchment Plan</t>
        </is>
      </c>
      <c r="C15" s="32" t="n"/>
      <c r="D15" s="105">
        <f>C15*C$8</f>
        <v/>
      </c>
      <c r="E15" s="32" t="n"/>
      <c r="F15" s="105">
        <f>E15*E$8</f>
        <v/>
      </c>
      <c r="G15" s="32" t="n"/>
      <c r="H15" s="105">
        <f>G15*G$8</f>
        <v/>
      </c>
      <c r="I15" s="32" t="n"/>
      <c r="J15" s="105">
        <f>I15*I$8</f>
        <v/>
      </c>
      <c r="K15" s="32" t="n"/>
      <c r="L15" s="105">
        <f>K15*K$8</f>
        <v/>
      </c>
      <c r="M15" s="32" t="n"/>
      <c r="N15" s="105">
        <f>M15*M$8</f>
        <v/>
      </c>
      <c r="O15" s="32" t="n"/>
      <c r="P15" s="105">
        <f>O15*O$8</f>
        <v/>
      </c>
      <c r="Q15" s="32" t="n"/>
      <c r="R15" s="105">
        <f>Q15*Q$8</f>
        <v/>
      </c>
      <c r="S15" s="32" t="n"/>
      <c r="T15" s="105">
        <f>S15*S$8</f>
        <v/>
      </c>
      <c r="U15" s="32" t="n"/>
      <c r="V15" s="105">
        <f>U15*U$8</f>
        <v/>
      </c>
      <c r="W15" s="105" t="n"/>
      <c r="X15" s="106">
        <f>(SUM(W15+D15+F15+H15+J15+L15+N15+P15+R15+T15+V15))</f>
        <v/>
      </c>
    </row>
    <row r="16" ht="18.65" customHeight="1">
      <c r="A16" s="11" t="n">
        <v>4</v>
      </c>
      <c r="B16" s="11" t="inlineStr">
        <is>
          <t>Review and update existing RAIN hydrological model (RORB) for existing and developed conditions, including location and sizing of retarding basins</t>
        </is>
      </c>
      <c r="C16" s="32" t="n"/>
      <c r="D16" s="105">
        <f>C16*C$8</f>
        <v/>
      </c>
      <c r="E16" s="32" t="n"/>
      <c r="F16" s="105">
        <f>E16*E$8</f>
        <v/>
      </c>
      <c r="G16" s="32" t="n"/>
      <c r="H16" s="105">
        <f>G16*G$8</f>
        <v/>
      </c>
      <c r="I16" s="32" t="n"/>
      <c r="J16" s="105">
        <f>I16*I$8</f>
        <v/>
      </c>
      <c r="K16" s="32" t="n"/>
      <c r="L16" s="105">
        <f>K16*K$8</f>
        <v/>
      </c>
      <c r="M16" s="32" t="n"/>
      <c r="N16" s="105">
        <f>M16*M$8</f>
        <v/>
      </c>
      <c r="O16" s="32" t="n"/>
      <c r="P16" s="105">
        <f>O16*O$8</f>
        <v/>
      </c>
      <c r="Q16" s="32" t="n"/>
      <c r="R16" s="105">
        <f>Q16*Q$8</f>
        <v/>
      </c>
      <c r="S16" s="32" t="n"/>
      <c r="T16" s="105">
        <f>S16*S$8</f>
        <v/>
      </c>
      <c r="U16" s="32" t="n"/>
      <c r="V16" s="105">
        <f>U16*U$8</f>
        <v/>
      </c>
      <c r="W16" s="105" t="n"/>
      <c r="X16" s="106">
        <f>(SUM(W16+D16+F16+H16+J16+L16+N16+P16+R16+T16+V16))</f>
        <v/>
      </c>
    </row>
    <row r="17" ht="18.65" customHeight="1">
      <c r="A17" s="11" t="n">
        <v>5</v>
      </c>
      <c r="B17" s="11" t="inlineStr">
        <is>
          <t>Prepare Flood Impact Assessment hydraulic model (TUFLOW) for existing and developed conditions, with climate change allowance per DPO</t>
        </is>
      </c>
      <c r="C17" s="32" t="n"/>
      <c r="D17" s="105">
        <f>C17*C$8</f>
        <v/>
      </c>
      <c r="E17" s="32" t="n"/>
      <c r="F17" s="105">
        <f>E17*E$8</f>
        <v/>
      </c>
      <c r="G17" s="32" t="n"/>
      <c r="H17" s="105">
        <f>G17*G$8</f>
        <v/>
      </c>
      <c r="I17" s="32" t="n"/>
      <c r="J17" s="105">
        <f>I17*I$8</f>
        <v/>
      </c>
      <c r="K17" s="32" t="n"/>
      <c r="L17" s="105">
        <f>K17*K$8</f>
        <v/>
      </c>
      <c r="M17" s="32" t="n"/>
      <c r="N17" s="105">
        <f>M17*M$8</f>
        <v/>
      </c>
      <c r="O17" s="32" t="n"/>
      <c r="P17" s="105">
        <f>O17*O$8</f>
        <v/>
      </c>
      <c r="Q17" s="32" t="n"/>
      <c r="R17" s="105">
        <f>Q17*Q$8</f>
        <v/>
      </c>
      <c r="S17" s="32" t="n"/>
      <c r="T17" s="105">
        <f>S17*S$8</f>
        <v/>
      </c>
      <c r="U17" s="32" t="n"/>
      <c r="V17" s="105">
        <f>U17*U$8</f>
        <v/>
      </c>
      <c r="W17" s="105" t="n"/>
      <c r="X17" s="106">
        <f>(SUM(W17+D17+F17+H17+J17+L17+N17+P17+R17+T17+V17))</f>
        <v/>
      </c>
    </row>
    <row r="18" ht="18.65" customHeight="1">
      <c r="A18" s="11" t="n">
        <v>6</v>
      </c>
      <c r="B18" s="11" t="inlineStr">
        <is>
          <t>Update MUSIC model for developed conditions to confirm stormwater treatment train meets best practice, including location and size of WSUD assets</t>
        </is>
      </c>
      <c r="C18" s="32" t="n"/>
      <c r="D18" s="105">
        <f>C18*C$8</f>
        <v/>
      </c>
      <c r="E18" s="32" t="n"/>
      <c r="F18" s="105">
        <f>E18*E$8</f>
        <v/>
      </c>
      <c r="G18" s="32" t="n"/>
      <c r="H18" s="105">
        <f>G18*G$8</f>
        <v/>
      </c>
      <c r="I18" s="32" t="n"/>
      <c r="J18" s="105">
        <f>I18*I$8</f>
        <v/>
      </c>
      <c r="K18" s="32" t="n"/>
      <c r="L18" s="105">
        <f>K18*K$8</f>
        <v/>
      </c>
      <c r="M18" s="32" t="n"/>
      <c r="N18" s="105">
        <f>M18*M$8</f>
        <v/>
      </c>
      <c r="O18" s="32" t="n"/>
      <c r="P18" s="105">
        <f>O18*O$8</f>
        <v/>
      </c>
      <c r="Q18" s="32" t="n"/>
      <c r="R18" s="105">
        <f>Q18*Q$8</f>
        <v/>
      </c>
      <c r="S18" s="32" t="n"/>
      <c r="T18" s="105">
        <f>S18*S$8</f>
        <v/>
      </c>
      <c r="U18" s="32" t="n"/>
      <c r="V18" s="105">
        <f>U18*U$8</f>
        <v/>
      </c>
      <c r="W18" s="105" t="n"/>
      <c r="X18" s="106">
        <f>(SUM(W18+D18+F18+H18+J18+L18+N18+P18+R18+T18+V18))</f>
        <v/>
      </c>
    </row>
    <row r="19" ht="18.65" customHeight="1">
      <c r="A19" s="11" t="n">
        <v>7</v>
      </c>
      <c r="B19" s="11" t="inlineStr">
        <is>
          <t>Liaise with Engineering Consultant to coordinate key utility servicing and development sequencing</t>
        </is>
      </c>
      <c r="C19" s="32" t="n"/>
      <c r="D19" s="105">
        <f>C19*C$8</f>
        <v/>
      </c>
      <c r="E19" s="32" t="n"/>
      <c r="F19" s="105">
        <f>E19*E$8</f>
        <v/>
      </c>
      <c r="G19" s="32" t="n"/>
      <c r="H19" s="105">
        <f>G19*G$8</f>
        <v/>
      </c>
      <c r="I19" s="32" t="n"/>
      <c r="J19" s="105">
        <f>I19*I$8</f>
        <v/>
      </c>
      <c r="K19" s="32" t="n"/>
      <c r="L19" s="105">
        <f>K19*K$8</f>
        <v/>
      </c>
      <c r="M19" s="32" t="n"/>
      <c r="N19" s="105">
        <f>M19*M$8</f>
        <v/>
      </c>
      <c r="O19" s="32" t="n"/>
      <c r="P19" s="105">
        <f>O19*O$8</f>
        <v/>
      </c>
      <c r="Q19" s="32" t="n"/>
      <c r="R19" s="105">
        <f>Q19*Q$8</f>
        <v/>
      </c>
      <c r="S19" s="32" t="n"/>
      <c r="T19" s="105">
        <f>S19*S$8</f>
        <v/>
      </c>
      <c r="U19" s="32" t="n"/>
      <c r="V19" s="105">
        <f>U19*U$8</f>
        <v/>
      </c>
      <c r="W19" s="105" t="n"/>
      <c r="X19" s="106">
        <f>(SUM(W19+D19+F19+H19+J19+L19+N19+P19+R19+T19+V19))</f>
        <v/>
      </c>
    </row>
    <row r="20" ht="18.65" customHeight="1">
      <c r="A20" s="11" t="n">
        <v>8</v>
      </c>
      <c r="B20" s="11" t="inlineStr">
        <is>
          <t>Develop conceptual plan for proposed drainage/waterway corridors and WSUD assets (retarding basins, sediment ponds, wetlands)</t>
        </is>
      </c>
      <c r="C20" s="32" t="n"/>
      <c r="D20" s="105">
        <f>C20*C$8</f>
        <v/>
      </c>
      <c r="E20" s="32" t="n"/>
      <c r="F20" s="105">
        <f>E20*E$8</f>
        <v/>
      </c>
      <c r="G20" s="32" t="n"/>
      <c r="H20" s="105">
        <f>G20*G$8</f>
        <v/>
      </c>
      <c r="I20" s="32" t="n"/>
      <c r="J20" s="105">
        <f>I20*I$8</f>
        <v/>
      </c>
      <c r="K20" s="32" t="n"/>
      <c r="L20" s="105">
        <f>K20*K$8</f>
        <v/>
      </c>
      <c r="M20" s="32" t="n"/>
      <c r="N20" s="105">
        <f>M20*M$8</f>
        <v/>
      </c>
      <c r="O20" s="32" t="n"/>
      <c r="P20" s="105">
        <f>O20*O$8</f>
        <v/>
      </c>
      <c r="Q20" s="32" t="n"/>
      <c r="R20" s="105">
        <f>Q20*Q$8</f>
        <v/>
      </c>
      <c r="S20" s="32" t="n"/>
      <c r="T20" s="105">
        <f>S20*S$8</f>
        <v/>
      </c>
      <c r="U20" s="32" t="n"/>
      <c r="V20" s="105">
        <f>U20*U$8</f>
        <v/>
      </c>
      <c r="W20" s="105" t="n"/>
      <c r="X20" s="106">
        <f>(SUM(W20+D20+F20+H20+J20+L20+N20+P20+R20+T20+V20))</f>
        <v/>
      </c>
    </row>
    <row r="21" ht="18.65" customHeight="1">
      <c r="A21" s="11" t="n">
        <v>9</v>
      </c>
      <c r="B21" s="11" t="inlineStr">
        <is>
          <t>Document all calculations, parameters, and outcomes in the DSMS Report</t>
        </is>
      </c>
      <c r="C21" s="32" t="n"/>
      <c r="D21" s="105">
        <f>C21*C$8</f>
        <v/>
      </c>
      <c r="E21" s="32" t="n"/>
      <c r="F21" s="105">
        <f>E21*E$8</f>
        <v/>
      </c>
      <c r="G21" s="32" t="n"/>
      <c r="H21" s="105">
        <f>G21*G$8</f>
        <v/>
      </c>
      <c r="I21" s="32" t="n"/>
      <c r="J21" s="105">
        <f>I21*I$8</f>
        <v/>
      </c>
      <c r="K21" s="32" t="n"/>
      <c r="L21" s="105">
        <f>K21*K$8</f>
        <v/>
      </c>
      <c r="M21" s="32" t="n"/>
      <c r="N21" s="105">
        <f>M21*M$8</f>
        <v/>
      </c>
      <c r="O21" s="32" t="n"/>
      <c r="P21" s="105">
        <f>O21*O$8</f>
        <v/>
      </c>
      <c r="Q21" s="32" t="n"/>
      <c r="R21" s="105">
        <f>Q21*Q$8</f>
        <v/>
      </c>
      <c r="S21" s="32" t="n"/>
      <c r="T21" s="105">
        <f>S21*S$8</f>
        <v/>
      </c>
      <c r="U21" s="32" t="n"/>
      <c r="V21" s="105">
        <f>U21*U$8</f>
        <v/>
      </c>
      <c r="W21" s="105" t="n"/>
      <c r="X21" s="106">
        <f>(SUM(W21+D21+F21+H21+J21+L21+N21+P21+R21+T21+V21))</f>
        <v/>
      </c>
    </row>
    <row r="22">
      <c r="B22" s="35" t="inlineStr">
        <is>
          <t>Phase 3.1 – Drainage and Stormwater Management Strategy (CCMA and CoGG approval) Subtotal</t>
        </is>
      </c>
      <c r="C22" s="32">
        <f>SUM(C13:C21)</f>
        <v/>
      </c>
      <c r="D22" s="105">
        <f>SUM(D13:D21)</f>
        <v/>
      </c>
      <c r="E22" s="32">
        <f>SUM(E13:E21)</f>
        <v/>
      </c>
      <c r="F22" s="105">
        <f>SUM(F13:F21)</f>
        <v/>
      </c>
      <c r="G22" s="32">
        <f>SUM(G13:G21)</f>
        <v/>
      </c>
      <c r="H22" s="105">
        <f>SUM(H13:H21)</f>
        <v/>
      </c>
      <c r="I22" s="32">
        <f>SUM(I13:I21)</f>
        <v/>
      </c>
      <c r="J22" s="105">
        <f>SUM(J13:J21)</f>
        <v/>
      </c>
      <c r="K22" s="32">
        <f>SUM(K13:K21)</f>
        <v/>
      </c>
      <c r="L22" s="105">
        <f>SUM(L13:L21)</f>
        <v/>
      </c>
      <c r="M22" s="32">
        <f>SUM(M13:M21)</f>
        <v/>
      </c>
      <c r="N22" s="105">
        <f>SUM(N13:N21)</f>
        <v/>
      </c>
      <c r="O22" s="32">
        <f>SUM(O13:O21)</f>
        <v/>
      </c>
      <c r="P22" s="105">
        <f>SUM(P13:P21)</f>
        <v/>
      </c>
      <c r="Q22" s="32">
        <f>SUM(Q13:Q21)</f>
        <v/>
      </c>
      <c r="R22" s="105">
        <f>SUM(R13:R21)</f>
        <v/>
      </c>
      <c r="S22" s="32">
        <f>SUM(S13:S21)</f>
        <v/>
      </c>
      <c r="T22" s="105">
        <f>SUM(T13:T21)</f>
        <v/>
      </c>
      <c r="U22" s="32">
        <f>SUM(U13:U21)</f>
        <v/>
      </c>
      <c r="V22" s="105">
        <f>SUM(V13:V21)</f>
        <v/>
      </c>
      <c r="W22" s="105">
        <f>SUM(W13:W21)</f>
        <v/>
      </c>
      <c r="X22" s="36">
        <f>SUM(X13:X21)</f>
        <v/>
      </c>
    </row>
    <row r="23" ht="14.5" customHeight="1" thickBot="1">
      <c r="B23" s="1" t="inlineStr">
        <is>
          <t>Phase 3.2 – Drainage Asset Management Plan (CoGG approval)</t>
        </is>
      </c>
    </row>
    <row r="24">
      <c r="A24" s="11" t="n">
        <v>10</v>
      </c>
      <c r="B24" s="11" t="inlineStr">
        <is>
          <t>Asset register</t>
        </is>
      </c>
      <c r="C24" s="32" t="n"/>
      <c r="D24" s="105">
        <f>C24*C$8</f>
        <v/>
      </c>
      <c r="E24" s="32" t="n"/>
      <c r="F24" s="105">
        <f>E24*E$8</f>
        <v/>
      </c>
      <c r="G24" s="32" t="n"/>
      <c r="H24" s="105">
        <f>G24*G$8</f>
        <v/>
      </c>
      <c r="I24" s="32" t="n"/>
      <c r="J24" s="105">
        <f>I24*I$8</f>
        <v/>
      </c>
      <c r="K24" s="32" t="n"/>
      <c r="L24" s="105">
        <f>K24*K$8</f>
        <v/>
      </c>
      <c r="M24" s="32" t="n"/>
      <c r="N24" s="105">
        <f>M24*M$8</f>
        <v/>
      </c>
      <c r="O24" s="32" t="n"/>
      <c r="P24" s="105">
        <f>O24*O$8</f>
        <v/>
      </c>
      <c r="Q24" s="32" t="n"/>
      <c r="R24" s="105">
        <f>Q24*Q$8</f>
        <v/>
      </c>
      <c r="S24" s="32" t="n"/>
      <c r="T24" s="105">
        <f>S24*S$8</f>
        <v/>
      </c>
      <c r="U24" s="32" t="n"/>
      <c r="V24" s="105">
        <f>U24*U$8</f>
        <v/>
      </c>
      <c r="W24" s="105" t="n"/>
      <c r="X24" s="106">
        <f>(SUM(W24+D24+F24+H24+J24+L24+N24+P24+R24+T24+V24))</f>
        <v/>
      </c>
    </row>
    <row r="25">
      <c r="A25" s="11" t="n">
        <v>11</v>
      </c>
      <c r="B25" s="11" t="inlineStr">
        <is>
          <t>Public/private ownership delineation</t>
        </is>
      </c>
      <c r="C25" s="32" t="n"/>
      <c r="D25" s="105">
        <f>C25*C$8</f>
        <v/>
      </c>
      <c r="E25" s="32" t="n"/>
      <c r="F25" s="105">
        <f>E25*E$8</f>
        <v/>
      </c>
      <c r="G25" s="32" t="n"/>
      <c r="H25" s="105">
        <f>G25*G$8</f>
        <v/>
      </c>
      <c r="I25" s="32" t="n"/>
      <c r="J25" s="105">
        <f>I25*I$8</f>
        <v/>
      </c>
      <c r="K25" s="32" t="n"/>
      <c r="L25" s="105">
        <f>K25*K$8</f>
        <v/>
      </c>
      <c r="M25" s="32" t="n"/>
      <c r="N25" s="105">
        <f>M25*M$8</f>
        <v/>
      </c>
      <c r="O25" s="32" t="n"/>
      <c r="P25" s="105">
        <f>O25*O$8</f>
        <v/>
      </c>
      <c r="Q25" s="32" t="n"/>
      <c r="R25" s="105">
        <f>Q25*Q$8</f>
        <v/>
      </c>
      <c r="S25" s="32" t="n"/>
      <c r="T25" s="105">
        <f>S25*S$8</f>
        <v/>
      </c>
      <c r="U25" s="32" t="n"/>
      <c r="V25" s="105">
        <f>U25*U$8</f>
        <v/>
      </c>
      <c r="W25" s="105" t="n"/>
      <c r="X25" s="106">
        <f>(SUM(W25+D25+F25+H25+J25+L25+N25+P25+R25+T25+V25))</f>
        <v/>
      </c>
    </row>
    <row r="26">
      <c r="A26" s="11" t="n">
        <v>12</v>
      </c>
      <c r="B26" s="11" t="inlineStr">
        <is>
          <t>Long-term operational and maintenance arrangements</t>
        </is>
      </c>
      <c r="C26" s="32" t="n"/>
      <c r="D26" s="105">
        <f>C26*C$8</f>
        <v/>
      </c>
      <c r="E26" s="32" t="n"/>
      <c r="F26" s="105">
        <f>E26*E$8</f>
        <v/>
      </c>
      <c r="G26" s="32" t="n"/>
      <c r="H26" s="105">
        <f>G26*G$8</f>
        <v/>
      </c>
      <c r="I26" s="32" t="n"/>
      <c r="J26" s="105">
        <f>I26*I$8</f>
        <v/>
      </c>
      <c r="K26" s="32" t="n"/>
      <c r="L26" s="105">
        <f>K26*K$8</f>
        <v/>
      </c>
      <c r="M26" s="32" t="n"/>
      <c r="N26" s="105">
        <f>M26*M$8</f>
        <v/>
      </c>
      <c r="O26" s="32" t="n"/>
      <c r="P26" s="105">
        <f>O26*O$8</f>
        <v/>
      </c>
      <c r="Q26" s="32" t="n"/>
      <c r="R26" s="105">
        <f>Q26*Q$8</f>
        <v/>
      </c>
      <c r="S26" s="32" t="n"/>
      <c r="T26" s="105">
        <f>S26*S$8</f>
        <v/>
      </c>
      <c r="U26" s="32" t="n"/>
      <c r="V26" s="105">
        <f>U26*U$8</f>
        <v/>
      </c>
      <c r="W26" s="105" t="n"/>
      <c r="X26" s="106">
        <f>(SUM(W26+D26+F26+H26+J26+L26+N26+P26+R26+T26+V26))</f>
        <v/>
      </c>
    </row>
    <row r="27">
      <c r="A27" s="11" t="n">
        <v>13</v>
      </c>
      <c r="B27" s="11" t="inlineStr">
        <is>
          <t>Agreed maintenance schedule and cost apportionment</t>
        </is>
      </c>
      <c r="C27" s="32" t="n"/>
      <c r="D27" s="105">
        <f>C27*C$8</f>
        <v/>
      </c>
      <c r="E27" s="32" t="n"/>
      <c r="F27" s="105">
        <f>E27*E$8</f>
        <v/>
      </c>
      <c r="G27" s="32" t="n"/>
      <c r="H27" s="105">
        <f>G27*G$8</f>
        <v/>
      </c>
      <c r="I27" s="32" t="n"/>
      <c r="J27" s="105">
        <f>I27*I$8</f>
        <v/>
      </c>
      <c r="K27" s="32" t="n"/>
      <c r="L27" s="105">
        <f>K27*K$8</f>
        <v/>
      </c>
      <c r="M27" s="32" t="n"/>
      <c r="N27" s="105">
        <f>M27*M$8</f>
        <v/>
      </c>
      <c r="O27" s="32" t="n"/>
      <c r="P27" s="105">
        <f>O27*O$8</f>
        <v/>
      </c>
      <c r="Q27" s="32" t="n"/>
      <c r="R27" s="105">
        <f>Q27*Q$8</f>
        <v/>
      </c>
      <c r="S27" s="32" t="n"/>
      <c r="T27" s="105">
        <f>S27*S$8</f>
        <v/>
      </c>
      <c r="U27" s="32" t="n"/>
      <c r="V27" s="105">
        <f>U27*U$8</f>
        <v/>
      </c>
      <c r="W27" s="105" t="n"/>
      <c r="X27" s="106">
        <f>(SUM(W27+D27+F27+H27+J27+L27+N27+P27+R27+T27+V27))</f>
        <v/>
      </c>
    </row>
    <row r="28">
      <c r="A28" s="11" t="n">
        <v>14</v>
      </c>
      <c r="B28" s="11" t="inlineStr">
        <is>
          <t>Lifecycle costing</t>
        </is>
      </c>
      <c r="C28" s="32" t="n"/>
      <c r="D28" s="105">
        <f>C28*C$8</f>
        <v/>
      </c>
      <c r="E28" s="32" t="n"/>
      <c r="F28" s="105">
        <f>E28*E$8</f>
        <v/>
      </c>
      <c r="G28" s="32" t="n"/>
      <c r="H28" s="105">
        <f>G28*G$8</f>
        <v/>
      </c>
      <c r="I28" s="32" t="n"/>
      <c r="J28" s="105">
        <f>I28*I$8</f>
        <v/>
      </c>
      <c r="K28" s="32" t="n"/>
      <c r="L28" s="105">
        <f>K28*K$8</f>
        <v/>
      </c>
      <c r="M28" s="32" t="n"/>
      <c r="N28" s="105">
        <f>M28*M$8</f>
        <v/>
      </c>
      <c r="O28" s="32" t="n"/>
      <c r="P28" s="105">
        <f>O28*O$8</f>
        <v/>
      </c>
      <c r="Q28" s="32" t="n"/>
      <c r="R28" s="105">
        <f>Q28*Q$8</f>
        <v/>
      </c>
      <c r="S28" s="32" t="n"/>
      <c r="T28" s="105">
        <f>S28*S$8</f>
        <v/>
      </c>
      <c r="U28" s="32" t="n"/>
      <c r="V28" s="105">
        <f>U28*U$8</f>
        <v/>
      </c>
      <c r="W28" s="105" t="n"/>
      <c r="X28" s="106">
        <f>(SUM(W28+D28+F28+H28+J28+L28+N28+P28+R28+T28+V28))</f>
        <v/>
      </c>
    </row>
    <row r="29">
      <c r="A29" s="11" t="n">
        <v>15</v>
      </c>
      <c r="B29" s="11" t="inlineStr">
        <is>
          <t>Inspection and monitoring protocols</t>
        </is>
      </c>
      <c r="C29" s="32" t="n"/>
      <c r="D29" s="105">
        <f>C29*C$8</f>
        <v/>
      </c>
      <c r="E29" s="32" t="n"/>
      <c r="F29" s="105">
        <f>E29*E$8</f>
        <v/>
      </c>
      <c r="G29" s="32" t="n"/>
      <c r="H29" s="105">
        <f>G29*G$8</f>
        <v/>
      </c>
      <c r="I29" s="32" t="n"/>
      <c r="J29" s="105">
        <f>I29*I$8</f>
        <v/>
      </c>
      <c r="K29" s="32" t="n"/>
      <c r="L29" s="105">
        <f>K29*K$8</f>
        <v/>
      </c>
      <c r="M29" s="32" t="n"/>
      <c r="N29" s="105">
        <f>M29*M$8</f>
        <v/>
      </c>
      <c r="O29" s="32" t="n"/>
      <c r="P29" s="105">
        <f>O29*O$8</f>
        <v/>
      </c>
      <c r="Q29" s="32" t="n"/>
      <c r="R29" s="105">
        <f>Q29*Q$8</f>
        <v/>
      </c>
      <c r="S29" s="32" t="n"/>
      <c r="T29" s="105">
        <f>S29*S$8</f>
        <v/>
      </c>
      <c r="U29" s="32" t="n"/>
      <c r="V29" s="105">
        <f>U29*U$8</f>
        <v/>
      </c>
      <c r="W29" s="105" t="n"/>
      <c r="X29" s="106">
        <f>(SUM(W29+D29+F29+H29+J29+L29+N29+P29+R29+T29+V29))</f>
        <v/>
      </c>
    </row>
    <row r="30" ht="20.5" customHeight="1" thickBot="1">
      <c r="B30" s="35" t="inlineStr">
        <is>
          <t>Phase 3.2 – Drainage Asset Management Plan (CoGG approval) Subtotal</t>
        </is>
      </c>
      <c r="C30" s="32">
        <f>SUM(C24:C29)</f>
        <v/>
      </c>
      <c r="D30" s="105">
        <f>SUM(D24:D29)</f>
        <v/>
      </c>
      <c r="E30" s="32">
        <f>SUM(E24:E29)</f>
        <v/>
      </c>
      <c r="F30" s="105">
        <f>SUM(F24:F29)</f>
        <v/>
      </c>
      <c r="G30" s="32">
        <f>SUM(G24:G29)</f>
        <v/>
      </c>
      <c r="H30" s="105">
        <f>SUM(H24:H29)</f>
        <v/>
      </c>
      <c r="I30" s="32">
        <f>SUM(I24:I29)</f>
        <v/>
      </c>
      <c r="J30" s="105">
        <f>SUM(J24:J29)</f>
        <v/>
      </c>
      <c r="K30" s="32">
        <f>SUM(K24:K29)</f>
        <v/>
      </c>
      <c r="L30" s="105">
        <f>SUM(L24:L29)</f>
        <v/>
      </c>
      <c r="M30" s="32">
        <f>SUM(M24:M29)</f>
        <v/>
      </c>
      <c r="N30" s="105">
        <f>SUM(N24:N29)</f>
        <v/>
      </c>
      <c r="O30" s="32">
        <f>SUM(O24:O29)</f>
        <v/>
      </c>
      <c r="P30" s="105">
        <f>SUM(P24:P29)</f>
        <v/>
      </c>
      <c r="Q30" s="32">
        <f>SUM(Q24:Q29)</f>
        <v/>
      </c>
      <c r="R30" s="105">
        <f>SUM(R24:R29)</f>
        <v/>
      </c>
      <c r="S30" s="32">
        <f>SUM(S24:S29)</f>
        <v/>
      </c>
      <c r="T30" s="105">
        <f>SUM(T24:T29)</f>
        <v/>
      </c>
      <c r="U30" s="32">
        <f>SUM(U24:U29)</f>
        <v/>
      </c>
      <c r="V30" s="105">
        <f>SUM(V24:V29)</f>
        <v/>
      </c>
      <c r="W30" s="105">
        <f>SUM(W24:W29)</f>
        <v/>
      </c>
      <c r="X30" s="36">
        <f>SUM(X24:X29)</f>
        <v/>
      </c>
    </row>
    <row r="31">
      <c r="B31" s="1" t="inlineStr">
        <is>
          <t>Phase 3.3 – Integrated Water Management Plan (CoGG approval)</t>
        </is>
      </c>
    </row>
    <row r="32">
      <c r="A32" s="11" t="n">
        <v>16</v>
      </c>
      <c r="B32" s="11" t="inlineStr">
        <is>
          <t>Review background studies relating to potable water reduction and stormwater volume reduction initiatives</t>
        </is>
      </c>
      <c r="C32" s="32" t="n"/>
      <c r="D32" s="105">
        <f>C32*C$8</f>
        <v/>
      </c>
      <c r="E32" s="32" t="n"/>
      <c r="F32" s="105">
        <f>E32*E$8</f>
        <v/>
      </c>
      <c r="G32" s="32" t="n"/>
      <c r="H32" s="105">
        <f>G32*G$8</f>
        <v/>
      </c>
      <c r="I32" s="32" t="n"/>
      <c r="J32" s="105">
        <f>I32*I$8</f>
        <v/>
      </c>
      <c r="K32" s="32" t="n"/>
      <c r="L32" s="105">
        <f>K32*K$8</f>
        <v/>
      </c>
      <c r="M32" s="32" t="n"/>
      <c r="N32" s="105">
        <f>M32*M$8</f>
        <v/>
      </c>
      <c r="O32" s="32" t="n"/>
      <c r="P32" s="105">
        <f>O32*O$8</f>
        <v/>
      </c>
      <c r="Q32" s="32" t="n"/>
      <c r="R32" s="105">
        <f>Q32*Q$8</f>
        <v/>
      </c>
      <c r="S32" s="32" t="n"/>
      <c r="T32" s="105">
        <f>S32*S$8</f>
        <v/>
      </c>
      <c r="U32" s="32" t="n"/>
      <c r="V32" s="105">
        <f>U32*U$8</f>
        <v/>
      </c>
      <c r="W32" s="105" t="n"/>
      <c r="X32" s="106">
        <f>(SUM(W32+D32+F32+H32+J32+L32+N32+P32+R32+T32+V32))</f>
        <v/>
      </c>
    </row>
    <row r="33" ht="35.15" customHeight="1">
      <c r="A33" s="11" t="n">
        <v>17</v>
      </c>
      <c r="B33" s="11" t="inlineStr">
        <is>
          <t>Establish stormwater volume reduction targets (informed in part by the EIA)</t>
        </is>
      </c>
      <c r="C33" s="32" t="n"/>
      <c r="D33" s="105">
        <f>C33*C$8</f>
        <v/>
      </c>
      <c r="E33" s="32" t="n"/>
      <c r="F33" s="105">
        <f>E33*E$8</f>
        <v/>
      </c>
      <c r="G33" s="32" t="n"/>
      <c r="H33" s="105">
        <f>G33*G$8</f>
        <v/>
      </c>
      <c r="I33" s="32" t="n"/>
      <c r="J33" s="105">
        <f>I33*I$8</f>
        <v/>
      </c>
      <c r="K33" s="32" t="n"/>
      <c r="L33" s="105">
        <f>K33*K$8</f>
        <v/>
      </c>
      <c r="M33" s="32" t="n"/>
      <c r="N33" s="105">
        <f>M33*M$8</f>
        <v/>
      </c>
      <c r="O33" s="32" t="n"/>
      <c r="P33" s="105">
        <f>O33*O$8</f>
        <v/>
      </c>
      <c r="Q33" s="32" t="n"/>
      <c r="R33" s="105">
        <f>Q33*Q$8</f>
        <v/>
      </c>
      <c r="S33" s="32" t="n"/>
      <c r="T33" s="105">
        <f>S33*S$8</f>
        <v/>
      </c>
      <c r="U33" s="32" t="n"/>
      <c r="V33" s="105">
        <f>U33*U$8</f>
        <v/>
      </c>
      <c r="W33" s="105" t="n"/>
      <c r="X33" s="106">
        <f>(SUM(W33+D33+F33+H33+J33+L33+N33+P33+R33+T33+V33))</f>
        <v/>
      </c>
    </row>
    <row r="34">
      <c r="A34" s="11" t="n">
        <v>18</v>
      </c>
      <c r="B34" s="11" t="inlineStr">
        <is>
          <t>Qualitative analysis of IWM 'long list' through the lens of volume reduction at lot, precinct, and regional scale</t>
        </is>
      </c>
      <c r="C34" s="32" t="n"/>
      <c r="D34" s="105">
        <f>C34*C$8</f>
        <v/>
      </c>
      <c r="E34" s="32" t="n"/>
      <c r="F34" s="105">
        <f>E34*E$8</f>
        <v/>
      </c>
      <c r="G34" s="32" t="n"/>
      <c r="H34" s="105">
        <f>G34*G$8</f>
        <v/>
      </c>
      <c r="I34" s="32" t="n"/>
      <c r="J34" s="105">
        <f>I34*I$8</f>
        <v/>
      </c>
      <c r="K34" s="32" t="n"/>
      <c r="L34" s="105">
        <f>K34*K$8</f>
        <v/>
      </c>
      <c r="M34" s="32" t="n"/>
      <c r="N34" s="105">
        <f>M34*M$8</f>
        <v/>
      </c>
      <c r="O34" s="32" t="n"/>
      <c r="P34" s="105">
        <f>O34*O$8</f>
        <v/>
      </c>
      <c r="Q34" s="32" t="n"/>
      <c r="R34" s="105">
        <f>Q34*Q$8</f>
        <v/>
      </c>
      <c r="S34" s="32" t="n"/>
      <c r="T34" s="105">
        <f>S34*S$8</f>
        <v/>
      </c>
      <c r="U34" s="32" t="n"/>
      <c r="V34" s="105">
        <f>U34*U$8</f>
        <v/>
      </c>
      <c r="W34" s="105" t="n"/>
      <c r="X34" s="106">
        <f>(SUM(W34+D34+F34+H34+J34+L34+N34+P34+R34+T34+V34))</f>
        <v/>
      </c>
    </row>
    <row r="35">
      <c r="A35" s="11" t="n">
        <v>19</v>
      </c>
      <c r="B35" s="11" t="inlineStr">
        <is>
          <t>MUSIC modelling to quantify predicted volume reduction for each shortlist IWM option</t>
        </is>
      </c>
      <c r="C35" s="32" t="n"/>
      <c r="D35" s="105">
        <f>C35*C$8</f>
        <v/>
      </c>
      <c r="E35" s="32" t="n"/>
      <c r="F35" s="105">
        <f>E35*E$8</f>
        <v/>
      </c>
      <c r="G35" s="32" t="n"/>
      <c r="H35" s="105">
        <f>G35*G$8</f>
        <v/>
      </c>
      <c r="I35" s="32" t="n"/>
      <c r="J35" s="105">
        <f>I35*I$8</f>
        <v/>
      </c>
      <c r="K35" s="32" t="n"/>
      <c r="L35" s="105">
        <f>K35*K$8</f>
        <v/>
      </c>
      <c r="M35" s="32" t="n"/>
      <c r="N35" s="105">
        <f>M35*M$8</f>
        <v/>
      </c>
      <c r="O35" s="32" t="n"/>
      <c r="P35" s="105">
        <f>O35*O$8</f>
        <v/>
      </c>
      <c r="Q35" s="32" t="n"/>
      <c r="R35" s="105">
        <f>Q35*Q$8</f>
        <v/>
      </c>
      <c r="S35" s="32" t="n"/>
      <c r="T35" s="105">
        <f>S35*S$8</f>
        <v/>
      </c>
      <c r="U35" s="32" t="n"/>
      <c r="V35" s="105">
        <f>U35*U$8</f>
        <v/>
      </c>
      <c r="W35" s="105" t="n"/>
      <c r="X35" s="106">
        <f>(SUM(W35+D35+F35+H35+J35+L35+N35+P35+R35+T35+V35))</f>
        <v/>
      </c>
    </row>
    <row r="36">
      <c r="A36" s="11" t="n">
        <v>20</v>
      </c>
      <c r="B36" s="11" t="inlineStr">
        <is>
          <t>Refine 'long list' to 'short list' in consultation with Landowner Group and key stakeholders</t>
        </is>
      </c>
      <c r="C36" s="32" t="n"/>
      <c r="D36" s="105">
        <f>C36*C$8</f>
        <v/>
      </c>
      <c r="E36" s="32" t="n"/>
      <c r="F36" s="105">
        <f>E36*E$8</f>
        <v/>
      </c>
      <c r="G36" s="32" t="n"/>
      <c r="H36" s="105">
        <f>G36*G$8</f>
        <v/>
      </c>
      <c r="I36" s="32" t="n"/>
      <c r="J36" s="105">
        <f>I36*I$8</f>
        <v/>
      </c>
      <c r="K36" s="32" t="n"/>
      <c r="L36" s="105">
        <f>K36*K$8</f>
        <v/>
      </c>
      <c r="M36" s="32" t="n"/>
      <c r="N36" s="105">
        <f>M36*M$8</f>
        <v/>
      </c>
      <c r="O36" s="32" t="n"/>
      <c r="P36" s="105">
        <f>O36*O$8</f>
        <v/>
      </c>
      <c r="Q36" s="32" t="n"/>
      <c r="R36" s="105">
        <f>Q36*Q$8</f>
        <v/>
      </c>
      <c r="S36" s="32" t="n"/>
      <c r="T36" s="105">
        <f>S36*S$8</f>
        <v/>
      </c>
      <c r="U36" s="32" t="n"/>
      <c r="V36" s="105">
        <f>U36*U$8</f>
        <v/>
      </c>
      <c r="W36" s="105" t="n"/>
      <c r="X36" s="106">
        <f>(SUM(W36+D36+F36+H36+J36+L36+N36+P36+R36+T36+V36))</f>
        <v/>
      </c>
    </row>
    <row r="37">
      <c r="A37" s="11" t="n">
        <v>21</v>
      </c>
      <c r="B37" s="11" t="inlineStr">
        <is>
          <t>Determine preferred portfolio of options maximising IWM objectives and reaching volume reduction target</t>
        </is>
      </c>
      <c r="C37" s="32" t="n"/>
      <c r="D37" s="105">
        <f>C37*C$8</f>
        <v/>
      </c>
      <c r="E37" s="32" t="n"/>
      <c r="F37" s="105">
        <f>E37*E$8</f>
        <v/>
      </c>
      <c r="G37" s="32" t="n"/>
      <c r="H37" s="105">
        <f>G37*G$8</f>
        <v/>
      </c>
      <c r="I37" s="32" t="n"/>
      <c r="J37" s="105">
        <f>I37*I$8</f>
        <v/>
      </c>
      <c r="K37" s="32" t="n"/>
      <c r="L37" s="105">
        <f>K37*K$8</f>
        <v/>
      </c>
      <c r="M37" s="32" t="n"/>
      <c r="N37" s="105">
        <f>M37*M$8</f>
        <v/>
      </c>
      <c r="O37" s="32" t="n"/>
      <c r="P37" s="105">
        <f>O37*O$8</f>
        <v/>
      </c>
      <c r="Q37" s="32" t="n"/>
      <c r="R37" s="105">
        <f>Q37*Q$8</f>
        <v/>
      </c>
      <c r="S37" s="32" t="n"/>
      <c r="T37" s="105">
        <f>S37*S$8</f>
        <v/>
      </c>
      <c r="U37" s="32" t="n"/>
      <c r="V37" s="105">
        <f>U37*U$8</f>
        <v/>
      </c>
      <c r="W37" s="105" t="n"/>
      <c r="X37" s="106">
        <f>(SUM(W37+D37+F37+H37+J37+L37+N37+P37+R37+T37+V37))</f>
        <v/>
      </c>
    </row>
    <row r="38">
      <c r="A38" s="11" t="n">
        <v>22</v>
      </c>
      <c r="B38" s="11" t="inlineStr">
        <is>
          <t>Prepare high-level concept plan presenting selected IWM options</t>
        </is>
      </c>
      <c r="C38" s="32" t="n"/>
      <c r="D38" s="105">
        <f>C38*C$8</f>
        <v/>
      </c>
      <c r="E38" s="32" t="n"/>
      <c r="F38" s="105">
        <f>E38*E$8</f>
        <v/>
      </c>
      <c r="G38" s="32" t="n"/>
      <c r="H38" s="105">
        <f>G38*G$8</f>
        <v/>
      </c>
      <c r="I38" s="32" t="n"/>
      <c r="J38" s="105">
        <f>I38*I$8</f>
        <v/>
      </c>
      <c r="K38" s="32" t="n"/>
      <c r="L38" s="105">
        <f>K38*K$8</f>
        <v/>
      </c>
      <c r="M38" s="32" t="n"/>
      <c r="N38" s="105">
        <f>M38*M$8</f>
        <v/>
      </c>
      <c r="O38" s="32" t="n"/>
      <c r="P38" s="105">
        <f>O38*O$8</f>
        <v/>
      </c>
      <c r="Q38" s="32" t="n"/>
      <c r="R38" s="105">
        <f>Q38*Q$8</f>
        <v/>
      </c>
      <c r="S38" s="32" t="n"/>
      <c r="T38" s="105">
        <f>S38*S$8</f>
        <v/>
      </c>
      <c r="U38" s="32" t="n"/>
      <c r="V38" s="105">
        <f>U38*U$8</f>
        <v/>
      </c>
      <c r="W38" s="105" t="n"/>
      <c r="X38" s="106">
        <f>(SUM(W38+D38+F38+H38+J38+L38+N38+P38+R38+T38+V38))</f>
        <v/>
      </c>
    </row>
    <row r="39">
      <c r="A39" s="11" t="n">
        <v>23</v>
      </c>
      <c r="B39" s="11" t="inlineStr">
        <is>
          <t>Include IWM section in DSMS Report summarising options selection and volume reduction analysis</t>
        </is>
      </c>
      <c r="C39" s="32" t="n"/>
      <c r="D39" s="105">
        <f>C39*C$8</f>
        <v/>
      </c>
      <c r="E39" s="32" t="n"/>
      <c r="F39" s="105">
        <f>E39*E$8</f>
        <v/>
      </c>
      <c r="G39" s="32" t="n"/>
      <c r="H39" s="105">
        <f>G39*G$8</f>
        <v/>
      </c>
      <c r="I39" s="32" t="n"/>
      <c r="J39" s="105">
        <f>I39*I$8</f>
        <v/>
      </c>
      <c r="K39" s="32" t="n"/>
      <c r="L39" s="105">
        <f>K39*K$8</f>
        <v/>
      </c>
      <c r="M39" s="32" t="n"/>
      <c r="N39" s="105">
        <f>M39*M$8</f>
        <v/>
      </c>
      <c r="O39" s="32" t="n"/>
      <c r="P39" s="105">
        <f>O39*O$8</f>
        <v/>
      </c>
      <c r="Q39" s="32" t="n"/>
      <c r="R39" s="105">
        <f>Q39*Q$8</f>
        <v/>
      </c>
      <c r="S39" s="32" t="n"/>
      <c r="T39" s="105">
        <f>S39*S$8</f>
        <v/>
      </c>
      <c r="U39" s="32" t="n"/>
      <c r="V39" s="105">
        <f>U39*U$8</f>
        <v/>
      </c>
      <c r="W39" s="105" t="n"/>
      <c r="X39" s="106">
        <f>(SUM(W39+D39+F39+H39+J39+L39+N39+P39+R39+T39+V39))</f>
        <v/>
      </c>
    </row>
    <row r="40">
      <c r="A40" s="11" t="n">
        <v>24</v>
      </c>
      <c r="B40" s="11" t="inlineStr">
        <is>
          <t>Allowance for 3 × 2-hour stakeholder workshop meetings (Barwon Water, CoGG, CCMA, and other relevant stakeholders) to identify and present options</t>
        </is>
      </c>
      <c r="C40" s="32" t="n"/>
      <c r="D40" s="105">
        <f>C40*C$8</f>
        <v/>
      </c>
      <c r="E40" s="32" t="n"/>
      <c r="F40" s="105">
        <f>E40*E$8</f>
        <v/>
      </c>
      <c r="G40" s="32" t="n"/>
      <c r="H40" s="105">
        <f>G40*G$8</f>
        <v/>
      </c>
      <c r="I40" s="32" t="n"/>
      <c r="J40" s="105">
        <f>I40*I$8</f>
        <v/>
      </c>
      <c r="K40" s="32" t="n"/>
      <c r="L40" s="105">
        <f>K40*K$8</f>
        <v/>
      </c>
      <c r="M40" s="32" t="n"/>
      <c r="N40" s="105">
        <f>M40*M$8</f>
        <v/>
      </c>
      <c r="O40" s="32" t="n"/>
      <c r="P40" s="105">
        <f>O40*O$8</f>
        <v/>
      </c>
      <c r="Q40" s="32" t="n"/>
      <c r="R40" s="105">
        <f>Q40*Q$8</f>
        <v/>
      </c>
      <c r="S40" s="32" t="n"/>
      <c r="T40" s="105">
        <f>S40*S$8</f>
        <v/>
      </c>
      <c r="U40" s="32" t="n"/>
      <c r="V40" s="105">
        <f>U40*U$8</f>
        <v/>
      </c>
      <c r="W40" s="105" t="n"/>
      <c r="X40" s="106">
        <f>(SUM(W40+D40+F40+H40+J40+L40+N40+P40+R40+T40+V40))</f>
        <v/>
      </c>
    </row>
    <row r="41" ht="14.5" customHeight="1" thickBot="1">
      <c r="B41" s="35" t="inlineStr">
        <is>
          <t>Phase 3.3 – Integrated Water Management Plan (CoGG approval) Subtotal</t>
        </is>
      </c>
      <c r="C41" s="32">
        <f>SUM(C32:C40)</f>
        <v/>
      </c>
      <c r="D41" s="105">
        <f>SUM(D32:D40)</f>
        <v/>
      </c>
      <c r="E41" s="32">
        <f>SUM(E32:E40)</f>
        <v/>
      </c>
      <c r="F41" s="105">
        <f>SUM(F32:F40)</f>
        <v/>
      </c>
      <c r="G41" s="32">
        <f>SUM(G32:G40)</f>
        <v/>
      </c>
      <c r="H41" s="105">
        <f>SUM(H32:H40)</f>
        <v/>
      </c>
      <c r="I41" s="32">
        <f>SUM(I32:I40)</f>
        <v/>
      </c>
      <c r="J41" s="105">
        <f>SUM(J32:J40)</f>
        <v/>
      </c>
      <c r="K41" s="32">
        <f>SUM(K32:K40)</f>
        <v/>
      </c>
      <c r="L41" s="105">
        <f>SUM(L32:L40)</f>
        <v/>
      </c>
      <c r="M41" s="32">
        <f>SUM(M32:M40)</f>
        <v/>
      </c>
      <c r="N41" s="105">
        <f>SUM(N32:N40)</f>
        <v/>
      </c>
      <c r="O41" s="32">
        <f>SUM(O32:O40)</f>
        <v/>
      </c>
      <c r="P41" s="105">
        <f>SUM(P32:P40)</f>
        <v/>
      </c>
      <c r="Q41" s="32">
        <f>SUM(Q32:Q40)</f>
        <v/>
      </c>
      <c r="R41" s="105">
        <f>SUM(R32:R40)</f>
        <v/>
      </c>
      <c r="S41" s="32">
        <f>SUM(S32:S40)</f>
        <v/>
      </c>
      <c r="T41" s="105">
        <f>SUM(T32:T40)</f>
        <v/>
      </c>
      <c r="U41" s="32">
        <f>SUM(U32:U40)</f>
        <v/>
      </c>
      <c r="V41" s="105">
        <f>SUM(V32:V40)</f>
        <v/>
      </c>
      <c r="W41" s="105">
        <f>SUM(W32:W40)</f>
        <v/>
      </c>
      <c r="X41" s="36">
        <f>SUM(X32:X40)</f>
        <v/>
      </c>
    </row>
    <row r="42">
      <c r="B42" s="1" t="inlineStr">
        <is>
          <t>Phase 4 – Functional Design Plans and Report (CoGG approval)</t>
        </is>
      </c>
    </row>
    <row r="43">
      <c r="A43" s="11" t="n">
        <v>25</v>
      </c>
      <c r="B43" s="11" t="inlineStr">
        <is>
          <t>Detailed hydraulic modelling</t>
        </is>
      </c>
      <c r="C43" s="32" t="n"/>
      <c r="D43" s="105">
        <f>C43*C$8</f>
        <v/>
      </c>
      <c r="E43" s="32" t="n"/>
      <c r="F43" s="105">
        <f>E43*E$8</f>
        <v/>
      </c>
      <c r="G43" s="32" t="n"/>
      <c r="H43" s="105">
        <f>G43*G$8</f>
        <v/>
      </c>
      <c r="I43" s="32" t="n"/>
      <c r="J43" s="105">
        <f>I43*I$8</f>
        <v/>
      </c>
      <c r="K43" s="32" t="n"/>
      <c r="L43" s="105">
        <f>K43*K$8</f>
        <v/>
      </c>
      <c r="M43" s="32" t="n"/>
      <c r="N43" s="105">
        <f>M43*M$8</f>
        <v/>
      </c>
      <c r="O43" s="32" t="n"/>
      <c r="P43" s="105">
        <f>O43*O$8</f>
        <v/>
      </c>
      <c r="Q43" s="32" t="n"/>
      <c r="R43" s="105">
        <f>Q43*Q$8</f>
        <v/>
      </c>
      <c r="S43" s="32" t="n"/>
      <c r="T43" s="105">
        <f>S43*S$8</f>
        <v/>
      </c>
      <c r="U43" s="32" t="n"/>
      <c r="V43" s="105">
        <f>U43*U$8</f>
        <v/>
      </c>
      <c r="W43" s="105" t="n"/>
      <c r="X43" s="106">
        <f>(SUM(W43+D43+F43+H43+J43+L43+N43+P43+R43+T43+V43))</f>
        <v/>
      </c>
    </row>
    <row r="44">
      <c r="A44" s="11" t="n">
        <v>26</v>
      </c>
      <c r="B44" s="11" t="inlineStr">
        <is>
          <t>Functional design of drainage infrastructure</t>
        </is>
      </c>
      <c r="C44" s="32" t="n"/>
      <c r="D44" s="105">
        <f>C44*C$8</f>
        <v/>
      </c>
      <c r="E44" s="32" t="n"/>
      <c r="F44" s="105">
        <f>E44*E$8</f>
        <v/>
      </c>
      <c r="G44" s="32" t="n"/>
      <c r="H44" s="105">
        <f>G44*G$8</f>
        <v/>
      </c>
      <c r="I44" s="32" t="n"/>
      <c r="J44" s="105">
        <f>I44*I$8</f>
        <v/>
      </c>
      <c r="K44" s="32" t="n"/>
      <c r="L44" s="105">
        <f>K44*K$8</f>
        <v/>
      </c>
      <c r="M44" s="32" t="n"/>
      <c r="N44" s="105">
        <f>M44*M$8</f>
        <v/>
      </c>
      <c r="O44" s="32" t="n"/>
      <c r="P44" s="105">
        <f>O44*O$8</f>
        <v/>
      </c>
      <c r="Q44" s="32" t="n"/>
      <c r="R44" s="105">
        <f>Q44*Q$8</f>
        <v/>
      </c>
      <c r="S44" s="32" t="n"/>
      <c r="T44" s="105">
        <f>S44*S$8</f>
        <v/>
      </c>
      <c r="U44" s="32" t="n"/>
      <c r="V44" s="105">
        <f>U44*U$8</f>
        <v/>
      </c>
      <c r="W44" s="105" t="n"/>
      <c r="X44" s="106">
        <f>(SUM(W44+D44+F44+H44+J44+L44+N44+P44+R44+T44+V44))</f>
        <v/>
      </c>
    </row>
    <row r="45">
      <c r="A45" s="11" t="n">
        <v>27</v>
      </c>
      <c r="B45" s="11" t="inlineStr">
        <is>
          <t>Basin design</t>
        </is>
      </c>
      <c r="C45" s="32" t="n"/>
      <c r="D45" s="105">
        <f>C45*C$8</f>
        <v/>
      </c>
      <c r="E45" s="32" t="n"/>
      <c r="F45" s="105">
        <f>E45*E$8</f>
        <v/>
      </c>
      <c r="G45" s="32" t="n"/>
      <c r="H45" s="105">
        <f>G45*G$8</f>
        <v/>
      </c>
      <c r="I45" s="32" t="n"/>
      <c r="J45" s="105">
        <f>I45*I$8</f>
        <v/>
      </c>
      <c r="K45" s="32" t="n"/>
      <c r="L45" s="105">
        <f>K45*K$8</f>
        <v/>
      </c>
      <c r="M45" s="32" t="n"/>
      <c r="N45" s="105">
        <f>M45*M$8</f>
        <v/>
      </c>
      <c r="O45" s="32" t="n"/>
      <c r="P45" s="105">
        <f>O45*O$8</f>
        <v/>
      </c>
      <c r="Q45" s="32" t="n"/>
      <c r="R45" s="105">
        <f>Q45*Q$8</f>
        <v/>
      </c>
      <c r="S45" s="32" t="n"/>
      <c r="T45" s="105">
        <f>S45*S$8</f>
        <v/>
      </c>
      <c r="U45" s="32" t="n"/>
      <c r="V45" s="105">
        <f>U45*U$8</f>
        <v/>
      </c>
      <c r="W45" s="105" t="n"/>
      <c r="X45" s="106">
        <f>(SUM(W45+D45+F45+H45+J45+L45+N45+P45+R45+T45+V45))</f>
        <v/>
      </c>
    </row>
    <row r="46" ht="15.5" customHeight="1">
      <c r="A46" s="11" t="n">
        <v>28</v>
      </c>
      <c r="B46" s="11" t="inlineStr">
        <is>
          <t>Integration with upstream and downstream systems</t>
        </is>
      </c>
      <c r="C46" s="32" t="n"/>
      <c r="D46" s="105">
        <f>C46*C$8</f>
        <v/>
      </c>
      <c r="E46" s="32" t="n"/>
      <c r="F46" s="105">
        <f>E46*E$8</f>
        <v/>
      </c>
      <c r="G46" s="32" t="n"/>
      <c r="H46" s="105">
        <f>G46*G$8</f>
        <v/>
      </c>
      <c r="I46" s="32" t="n"/>
      <c r="J46" s="105">
        <f>I46*I$8</f>
        <v/>
      </c>
      <c r="K46" s="32" t="n"/>
      <c r="L46" s="105">
        <f>K46*K$8</f>
        <v/>
      </c>
      <c r="M46" s="32" t="n"/>
      <c r="N46" s="105">
        <f>M46*M$8</f>
        <v/>
      </c>
      <c r="O46" s="32" t="n"/>
      <c r="P46" s="105">
        <f>O46*O$8</f>
        <v/>
      </c>
      <c r="Q46" s="32" t="n"/>
      <c r="R46" s="105">
        <f>Q46*Q$8</f>
        <v/>
      </c>
      <c r="S46" s="32" t="n"/>
      <c r="T46" s="105">
        <f>S46*S$8</f>
        <v/>
      </c>
      <c r="U46" s="32" t="n"/>
      <c r="V46" s="105">
        <f>U46*U$8</f>
        <v/>
      </c>
      <c r="W46" s="105" t="n"/>
      <c r="X46" s="106">
        <f>(SUM(W46+D46+F46+H46+J46+L46+N46+P46+R46+T46+V46))</f>
        <v/>
      </c>
    </row>
    <row r="47">
      <c r="A47" s="11" t="n">
        <v>29</v>
      </c>
      <c r="B47" s="11" t="inlineStr">
        <is>
          <t>Functional Design Report with CAD drawings suitable for CoGG approval</t>
        </is>
      </c>
      <c r="C47" s="32" t="n"/>
      <c r="D47" s="105">
        <f>C47*C$8</f>
        <v/>
      </c>
      <c r="E47" s="32" t="n"/>
      <c r="F47" s="105">
        <f>E47*E$8</f>
        <v/>
      </c>
      <c r="G47" s="32" t="n"/>
      <c r="H47" s="105">
        <f>G47*G$8</f>
        <v/>
      </c>
      <c r="I47" s="32" t="n"/>
      <c r="J47" s="105">
        <f>I47*I$8</f>
        <v/>
      </c>
      <c r="K47" s="32" t="n"/>
      <c r="L47" s="105">
        <f>K47*K$8</f>
        <v/>
      </c>
      <c r="M47" s="32" t="n"/>
      <c r="N47" s="105">
        <f>M47*M$8</f>
        <v/>
      </c>
      <c r="O47" s="32" t="n"/>
      <c r="P47" s="105">
        <f>O47*O$8</f>
        <v/>
      </c>
      <c r="Q47" s="32" t="n"/>
      <c r="R47" s="105">
        <f>Q47*Q$8</f>
        <v/>
      </c>
      <c r="S47" s="32" t="n"/>
      <c r="T47" s="105">
        <f>S47*S$8</f>
        <v/>
      </c>
      <c r="U47" s="32" t="n"/>
      <c r="V47" s="105">
        <f>U47*U$8</f>
        <v/>
      </c>
      <c r="W47" s="105" t="n"/>
      <c r="X47" s="106">
        <f>(SUM(W47+D47+F47+H47+J47+L47+N47+P47+R47+T47+V47))</f>
        <v/>
      </c>
    </row>
    <row r="48">
      <c r="B48" s="35" t="inlineStr">
        <is>
          <t>Phase 4 – Functional Design Plans and Report (CoGG approval) Subtotal</t>
        </is>
      </c>
      <c r="C48" s="32">
        <f>SUM(C43:C47)</f>
        <v/>
      </c>
      <c r="D48" s="105">
        <f>SUM(D43:D47)</f>
        <v/>
      </c>
      <c r="E48" s="32">
        <f>SUM(E43:E47)</f>
        <v/>
      </c>
      <c r="F48" s="105">
        <f>SUM(F43:F47)</f>
        <v/>
      </c>
      <c r="G48" s="32">
        <f>SUM(G43:G47)</f>
        <v/>
      </c>
      <c r="H48" s="105">
        <f>SUM(H43:H47)</f>
        <v/>
      </c>
      <c r="I48" s="32">
        <f>SUM(I43:I47)</f>
        <v/>
      </c>
      <c r="J48" s="105">
        <f>SUM(J43:J47)</f>
        <v/>
      </c>
      <c r="K48" s="32">
        <f>SUM(K43:K47)</f>
        <v/>
      </c>
      <c r="L48" s="105">
        <f>SUM(L43:L47)</f>
        <v/>
      </c>
      <c r="M48" s="32">
        <f>SUM(M43:M47)</f>
        <v/>
      </c>
      <c r="N48" s="105">
        <f>SUM(N43:N47)</f>
        <v/>
      </c>
      <c r="O48" s="32">
        <f>SUM(O43:O47)</f>
        <v/>
      </c>
      <c r="P48" s="105">
        <f>SUM(P43:P47)</f>
        <v/>
      </c>
      <c r="Q48" s="32">
        <f>SUM(Q43:Q47)</f>
        <v/>
      </c>
      <c r="R48" s="105">
        <f>SUM(R43:R47)</f>
        <v/>
      </c>
      <c r="S48" s="32">
        <f>SUM(S43:S47)</f>
        <v/>
      </c>
      <c r="T48" s="105">
        <f>SUM(T43:T47)</f>
        <v/>
      </c>
      <c r="U48" s="32">
        <f>SUM(U43:U47)</f>
        <v/>
      </c>
      <c r="V48" s="105">
        <f>SUM(V43:V47)</f>
        <v/>
      </c>
      <c r="W48" s="105">
        <f>SUM(W43:W47)</f>
        <v/>
      </c>
      <c r="X48" s="36">
        <f>SUM(X43:X47)</f>
        <v/>
      </c>
    </row>
    <row r="49">
      <c r="B49" s="1" t="inlineStr">
        <is>
          <t>Phase 5.1 – Asset Costing (Provisional)</t>
        </is>
      </c>
    </row>
    <row r="50">
      <c r="A50" s="11" t="n">
        <v>30</v>
      </c>
      <c r="B50" s="11" t="inlineStr">
        <is>
          <t>Detailed asset cost estimate covering drainage and stormwater infrastructure designed under Phase 4</t>
        </is>
      </c>
      <c r="C50" s="32" t="n"/>
      <c r="D50" s="105">
        <f>C50*C$8</f>
        <v/>
      </c>
      <c r="E50" s="32" t="n"/>
      <c r="F50" s="105">
        <f>E50*E$8</f>
        <v/>
      </c>
      <c r="G50" s="32" t="n"/>
      <c r="H50" s="105">
        <f>G50*G$8</f>
        <v/>
      </c>
      <c r="I50" s="32" t="n"/>
      <c r="J50" s="105">
        <f>I50*I$8</f>
        <v/>
      </c>
      <c r="K50" s="32" t="n"/>
      <c r="L50" s="105">
        <f>K50*K$8</f>
        <v/>
      </c>
      <c r="M50" s="32" t="n"/>
      <c r="N50" s="105">
        <f>M50*M$8</f>
        <v/>
      </c>
      <c r="O50" s="32" t="n"/>
      <c r="P50" s="105">
        <f>O50*O$8</f>
        <v/>
      </c>
      <c r="Q50" s="32" t="n"/>
      <c r="R50" s="105">
        <f>Q50*Q$8</f>
        <v/>
      </c>
      <c r="S50" s="32" t="n"/>
      <c r="T50" s="105">
        <f>S50*S$8</f>
        <v/>
      </c>
      <c r="U50" s="32" t="n"/>
      <c r="V50" s="105">
        <f>U50*U$8</f>
        <v/>
      </c>
      <c r="W50" s="105" t="n"/>
      <c r="X50" s="106">
        <f>(SUM(W50+D50+F50+H50+J50+L50+N50+P50+R50+T50+V50))</f>
        <v/>
      </c>
    </row>
    <row r="51">
      <c r="A51" s="11" t="n">
        <v>31</v>
      </c>
      <c r="B51" s="11" t="inlineStr">
        <is>
          <t>Cost estimate to support landowner contribution apportionment, ICP/DCP submissions, and reimbursement claims with the relevant drainage authority</t>
        </is>
      </c>
      <c r="C51" s="32" t="n"/>
      <c r="D51" s="105">
        <f>C51*C$8</f>
        <v/>
      </c>
      <c r="E51" s="32" t="n"/>
      <c r="F51" s="105">
        <f>E51*E$8</f>
        <v/>
      </c>
      <c r="G51" s="32" t="n"/>
      <c r="H51" s="105">
        <f>G51*G$8</f>
        <v/>
      </c>
      <c r="I51" s="32" t="n"/>
      <c r="J51" s="105">
        <f>I51*I$8</f>
        <v/>
      </c>
      <c r="K51" s="32" t="n"/>
      <c r="L51" s="105">
        <f>K51*K$8</f>
        <v/>
      </c>
      <c r="M51" s="32" t="n"/>
      <c r="N51" s="105">
        <f>M51*M$8</f>
        <v/>
      </c>
      <c r="O51" s="32" t="n"/>
      <c r="P51" s="105">
        <f>O51*O$8</f>
        <v/>
      </c>
      <c r="Q51" s="32" t="n"/>
      <c r="R51" s="105">
        <f>Q51*Q$8</f>
        <v/>
      </c>
      <c r="S51" s="32" t="n"/>
      <c r="T51" s="105">
        <f>S51*S$8</f>
        <v/>
      </c>
      <c r="U51" s="32" t="n"/>
      <c r="V51" s="105">
        <f>U51*U$8</f>
        <v/>
      </c>
      <c r="W51" s="105" t="n"/>
      <c r="X51" s="106">
        <f>(SUM(W51+D51+F51+H51+J51+L51+N51+P51+R51+T51+V51))</f>
        <v/>
      </c>
    </row>
    <row r="52">
      <c r="A52" s="11" t="n">
        <v>32</v>
      </c>
      <c r="B52" s="11" t="inlineStr">
        <is>
          <t>Fee calculated as a percentage of estimated construction cost per ACEA sliding scale</t>
        </is>
      </c>
      <c r="C52" s="32" t="n"/>
      <c r="D52" s="105">
        <f>C52*C$8</f>
        <v/>
      </c>
      <c r="E52" s="32" t="n"/>
      <c r="F52" s="105">
        <f>E52*E$8</f>
        <v/>
      </c>
      <c r="G52" s="32" t="n"/>
      <c r="H52" s="105">
        <f>G52*G$8</f>
        <v/>
      </c>
      <c r="I52" s="32" t="n"/>
      <c r="J52" s="105">
        <f>I52*I$8</f>
        <v/>
      </c>
      <c r="K52" s="32" t="n"/>
      <c r="L52" s="105">
        <f>K52*K$8</f>
        <v/>
      </c>
      <c r="M52" s="32" t="n"/>
      <c r="N52" s="105">
        <f>M52*M$8</f>
        <v/>
      </c>
      <c r="O52" s="32" t="n"/>
      <c r="P52" s="105">
        <f>O52*O$8</f>
        <v/>
      </c>
      <c r="Q52" s="32" t="n"/>
      <c r="R52" s="105">
        <f>Q52*Q$8</f>
        <v/>
      </c>
      <c r="S52" s="32" t="n"/>
      <c r="T52" s="105">
        <f>S52*S$8</f>
        <v/>
      </c>
      <c r="U52" s="32" t="n"/>
      <c r="V52" s="105">
        <f>U52*U$8</f>
        <v/>
      </c>
      <c r="W52" s="105" t="n"/>
      <c r="X52" s="106">
        <f>(SUM(W52+D52+F52+H52+J52+L52+N52+P52+R52+T52+V52))</f>
        <v/>
      </c>
    </row>
    <row r="53">
      <c r="B53" s="35" t="inlineStr">
        <is>
          <t>Phase 5.1 – Asset Costing (Provisional) Subtotal</t>
        </is>
      </c>
      <c r="C53" s="32">
        <f>SUM(C50:C52)</f>
        <v/>
      </c>
      <c r="D53" s="105">
        <f>SUM(D50:D52)</f>
        <v/>
      </c>
      <c r="E53" s="32">
        <f>SUM(E50:E52)</f>
        <v/>
      </c>
      <c r="F53" s="105">
        <f>SUM(F50:F52)</f>
        <v/>
      </c>
      <c r="G53" s="32">
        <f>SUM(G50:G52)</f>
        <v/>
      </c>
      <c r="H53" s="105">
        <f>SUM(H50:H52)</f>
        <v/>
      </c>
      <c r="I53" s="32">
        <f>SUM(I50:I52)</f>
        <v/>
      </c>
      <c r="J53" s="105">
        <f>SUM(J50:J52)</f>
        <v/>
      </c>
      <c r="K53" s="32">
        <f>SUM(K50:K52)</f>
        <v/>
      </c>
      <c r="L53" s="105">
        <f>SUM(L50:L52)</f>
        <v/>
      </c>
      <c r="M53" s="32">
        <f>SUM(M50:M52)</f>
        <v/>
      </c>
      <c r="N53" s="105">
        <f>SUM(N50:N52)</f>
        <v/>
      </c>
      <c r="O53" s="32">
        <f>SUM(O50:O52)</f>
        <v/>
      </c>
      <c r="P53" s="105">
        <f>SUM(P50:P52)</f>
        <v/>
      </c>
      <c r="Q53" s="32">
        <f>SUM(Q50:Q52)</f>
        <v/>
      </c>
      <c r="R53" s="105">
        <f>SUM(R50:R52)</f>
        <v/>
      </c>
      <c r="S53" s="32">
        <f>SUM(S50:S52)</f>
        <v/>
      </c>
      <c r="T53" s="105">
        <f>SUM(T50:T52)</f>
        <v/>
      </c>
      <c r="U53" s="32">
        <f>SUM(U50:U52)</f>
        <v/>
      </c>
      <c r="V53" s="105">
        <f>SUM(V50:V52)</f>
        <v/>
      </c>
      <c r="W53" s="105">
        <f>SUM(W50:W52)</f>
        <v/>
      </c>
      <c r="X53" s="36">
        <f>SUM(X50:X52)</f>
        <v/>
      </c>
    </row>
    <row r="54">
      <c r="B54" s="1" t="inlineStr">
        <is>
          <t>Phase 5.2 – Ongoing Technical Advice (as required, T&amp;M)</t>
        </is>
      </c>
    </row>
    <row r="55">
      <c r="A55" s="11" t="n">
        <v>33</v>
      </c>
      <c r="B55" s="11" t="inlineStr">
        <is>
          <t>Response to referral authority comments and conditions (CCMA, CoGG)</t>
        </is>
      </c>
      <c r="C55" s="32" t="n"/>
      <c r="D55" s="105">
        <f>C55*C$8</f>
        <v/>
      </c>
      <c r="E55" s="32" t="n"/>
      <c r="F55" s="105">
        <f>E55*E$8</f>
        <v/>
      </c>
      <c r="G55" s="32" t="n"/>
      <c r="H55" s="105">
        <f>G55*G$8</f>
        <v/>
      </c>
      <c r="I55" s="32" t="n"/>
      <c r="J55" s="105">
        <f>I55*I$8</f>
        <v/>
      </c>
      <c r="K55" s="32" t="n"/>
      <c r="L55" s="105">
        <f>K55*K$8</f>
        <v/>
      </c>
      <c r="M55" s="32" t="n"/>
      <c r="N55" s="105">
        <f>M55*M$8</f>
        <v/>
      </c>
      <c r="O55" s="32" t="n"/>
      <c r="P55" s="105">
        <f>O55*O$8</f>
        <v/>
      </c>
      <c r="Q55" s="32" t="n"/>
      <c r="R55" s="105">
        <f>Q55*Q$8</f>
        <v/>
      </c>
      <c r="S55" s="32" t="n"/>
      <c r="T55" s="105">
        <f>S55*S$8</f>
        <v/>
      </c>
      <c r="U55" s="32" t="n"/>
      <c r="V55" s="105">
        <f>U55*U$8</f>
        <v/>
      </c>
      <c r="W55" s="105" t="n"/>
      <c r="X55" s="106">
        <f>(SUM(W55+D55+F55+H55+J55+L55+N55+P55+R55+T55+V55))</f>
        <v/>
      </c>
    </row>
    <row r="56">
      <c r="A56" s="11" t="n">
        <v>34</v>
      </c>
      <c r="B56" s="11" t="inlineStr">
        <is>
          <t>Technical submission responses</t>
        </is>
      </c>
      <c r="C56" s="32" t="n"/>
      <c r="D56" s="105">
        <f>C56*C$8</f>
        <v/>
      </c>
      <c r="E56" s="32" t="n"/>
      <c r="F56" s="105">
        <f>E56*E$8</f>
        <v/>
      </c>
      <c r="G56" s="32" t="n"/>
      <c r="H56" s="105">
        <f>G56*G$8</f>
        <v/>
      </c>
      <c r="I56" s="32" t="n"/>
      <c r="J56" s="105">
        <f>I56*I$8</f>
        <v/>
      </c>
      <c r="K56" s="32" t="n"/>
      <c r="L56" s="105">
        <f>K56*K$8</f>
        <v/>
      </c>
      <c r="M56" s="32" t="n"/>
      <c r="N56" s="105">
        <f>M56*M$8</f>
        <v/>
      </c>
      <c r="O56" s="32" t="n"/>
      <c r="P56" s="105">
        <f>O56*O$8</f>
        <v/>
      </c>
      <c r="Q56" s="32" t="n"/>
      <c r="R56" s="105">
        <f>Q56*Q$8</f>
        <v/>
      </c>
      <c r="S56" s="32" t="n"/>
      <c r="T56" s="105">
        <f>S56*S$8</f>
        <v/>
      </c>
      <c r="U56" s="32" t="n"/>
      <c r="V56" s="105">
        <f>U56*U$8</f>
        <v/>
      </c>
      <c r="W56" s="105" t="n"/>
      <c r="X56" s="106">
        <f>(SUM(W56+D56+F56+H56+J56+L56+N56+P56+R56+T56+V56))</f>
        <v/>
      </c>
    </row>
    <row r="57">
      <c r="A57" s="11" t="n">
        <v>35</v>
      </c>
      <c r="B57" s="11" t="inlineStr">
        <is>
          <t>Resolution of issues</t>
        </is>
      </c>
      <c r="C57" s="32" t="n"/>
      <c r="D57" s="105">
        <f>C57*C$8</f>
        <v/>
      </c>
      <c r="E57" s="32" t="n"/>
      <c r="F57" s="105">
        <f>E57*E$8</f>
        <v/>
      </c>
      <c r="G57" s="32" t="n"/>
      <c r="H57" s="105">
        <f>G57*G$8</f>
        <v/>
      </c>
      <c r="I57" s="32" t="n"/>
      <c r="J57" s="105">
        <f>I57*I$8</f>
        <v/>
      </c>
      <c r="K57" s="32" t="n"/>
      <c r="L57" s="105">
        <f>K57*K$8</f>
        <v/>
      </c>
      <c r="M57" s="32" t="n"/>
      <c r="N57" s="105">
        <f>M57*M$8</f>
        <v/>
      </c>
      <c r="O57" s="32" t="n"/>
      <c r="P57" s="105">
        <f>O57*O$8</f>
        <v/>
      </c>
      <c r="Q57" s="32" t="n"/>
      <c r="R57" s="105">
        <f>Q57*Q$8</f>
        <v/>
      </c>
      <c r="S57" s="32" t="n"/>
      <c r="T57" s="105">
        <f>S57*S$8</f>
        <v/>
      </c>
      <c r="U57" s="32" t="n"/>
      <c r="V57" s="105">
        <f>U57*U$8</f>
        <v/>
      </c>
      <c r="W57" s="105" t="n"/>
      <c r="X57" s="106">
        <f>(SUM(W57+D57+F57+H57+J57+L57+N57+P57+R57+T57+V57))</f>
        <v/>
      </c>
    </row>
    <row r="58">
      <c r="A58" s="11" t="n">
        <v>36</v>
      </c>
      <c r="B58" s="11" t="inlineStr">
        <is>
          <t>Interdisciplinary coordination</t>
        </is>
      </c>
      <c r="C58" s="32" t="n"/>
      <c r="D58" s="105">
        <f>C58*C$8</f>
        <v/>
      </c>
      <c r="E58" s="32" t="n"/>
      <c r="F58" s="105">
        <f>E58*E$8</f>
        <v/>
      </c>
      <c r="G58" s="32" t="n"/>
      <c r="H58" s="105">
        <f>G58*G$8</f>
        <v/>
      </c>
      <c r="I58" s="32" t="n"/>
      <c r="J58" s="105">
        <f>I58*I$8</f>
        <v/>
      </c>
      <c r="K58" s="32" t="n"/>
      <c r="L58" s="105">
        <f>K58*K$8</f>
        <v/>
      </c>
      <c r="M58" s="32" t="n"/>
      <c r="N58" s="105">
        <f>M58*M$8</f>
        <v/>
      </c>
      <c r="O58" s="32" t="n"/>
      <c r="P58" s="105">
        <f>O58*O$8</f>
        <v/>
      </c>
      <c r="Q58" s="32" t="n"/>
      <c r="R58" s="105">
        <f>Q58*Q$8</f>
        <v/>
      </c>
      <c r="S58" s="32" t="n"/>
      <c r="T58" s="105">
        <f>S58*S$8</f>
        <v/>
      </c>
      <c r="U58" s="32" t="n"/>
      <c r="V58" s="105">
        <f>U58*U$8</f>
        <v/>
      </c>
      <c r="W58" s="105" t="n"/>
      <c r="X58" s="106">
        <f>(SUM(W58+D58+F58+H58+J58+L58+N58+P58+R58+T58+V58))</f>
        <v/>
      </c>
    </row>
    <row r="59">
      <c r="A59" s="11" t="n">
        <v>37</v>
      </c>
      <c r="B59" s="11" t="inlineStr">
        <is>
          <t>Supplementary studies as identified by authorities (additional scope beyond allowance quoted separately)</t>
        </is>
      </c>
      <c r="C59" s="32" t="n"/>
      <c r="D59" s="105">
        <f>C59*C$8</f>
        <v/>
      </c>
      <c r="E59" s="32" t="n"/>
      <c r="F59" s="105">
        <f>E59*E$8</f>
        <v/>
      </c>
      <c r="G59" s="32" t="n"/>
      <c r="H59" s="105">
        <f>G59*G$8</f>
        <v/>
      </c>
      <c r="I59" s="32" t="n"/>
      <c r="J59" s="105">
        <f>I59*I$8</f>
        <v/>
      </c>
      <c r="K59" s="32" t="n"/>
      <c r="L59" s="105">
        <f>K59*K$8</f>
        <v/>
      </c>
      <c r="M59" s="32" t="n"/>
      <c r="N59" s="105">
        <f>M59*M$8</f>
        <v/>
      </c>
      <c r="O59" s="32" t="n"/>
      <c r="P59" s="105">
        <f>O59*O$8</f>
        <v/>
      </c>
      <c r="Q59" s="32" t="n"/>
      <c r="R59" s="105">
        <f>Q59*Q$8</f>
        <v/>
      </c>
      <c r="S59" s="32" t="n"/>
      <c r="T59" s="105">
        <f>S59*S$8</f>
        <v/>
      </c>
      <c r="U59" s="32" t="n"/>
      <c r="V59" s="105">
        <f>U59*U$8</f>
        <v/>
      </c>
      <c r="W59" s="105" t="n"/>
      <c r="X59" s="106">
        <f>(SUM(W59+D59+F59+H59+J59+L59+N59+P59+R59+T59+V59))</f>
        <v/>
      </c>
    </row>
    <row r="60">
      <c r="A60" s="34" t="n"/>
      <c r="B60" s="35" t="inlineStr">
        <is>
          <t>Phase 5.2 – Ongoing Technical Advice (as required, T&amp;M) Subtotal</t>
        </is>
      </c>
      <c r="C60" s="32">
        <f>SUM(C55:C59)</f>
        <v/>
      </c>
      <c r="D60" s="105">
        <f>SUM(D55:D59)</f>
        <v/>
      </c>
      <c r="E60" s="32">
        <f>SUM(E55:E59)</f>
        <v/>
      </c>
      <c r="F60" s="105">
        <f>SUM(F55:F59)</f>
        <v/>
      </c>
      <c r="G60" s="32">
        <f>SUM(G55:G59)</f>
        <v/>
      </c>
      <c r="H60" s="105">
        <f>SUM(H55:H59)</f>
        <v/>
      </c>
      <c r="I60" s="32">
        <f>SUM(I55:I59)</f>
        <v/>
      </c>
      <c r="J60" s="105">
        <f>SUM(J55:J59)</f>
        <v/>
      </c>
      <c r="K60" s="32">
        <f>SUM(K55:K59)</f>
        <v/>
      </c>
      <c r="L60" s="105">
        <f>SUM(L55:L59)</f>
        <v/>
      </c>
      <c r="M60" s="32">
        <f>SUM(M55:M59)</f>
        <v/>
      </c>
      <c r="N60" s="105">
        <f>SUM(N55:N59)</f>
        <v/>
      </c>
      <c r="O60" s="32">
        <f>SUM(O55:O59)</f>
        <v/>
      </c>
      <c r="P60" s="105">
        <f>SUM(P55:P59)</f>
        <v/>
      </c>
      <c r="Q60" s="32">
        <f>SUM(Q55:Q59)</f>
        <v/>
      </c>
      <c r="R60" s="105">
        <f>SUM(R55:R59)</f>
        <v/>
      </c>
      <c r="S60" s="32">
        <f>SUM(S55:S59)</f>
        <v/>
      </c>
      <c r="T60" s="105">
        <f>SUM(T55:T59)</f>
        <v/>
      </c>
      <c r="U60" s="32">
        <f>SUM(U55:U59)</f>
        <v/>
      </c>
      <c r="V60" s="105">
        <f>SUM(V55:V59)</f>
        <v/>
      </c>
      <c r="W60" s="105">
        <f>SUM(W55:W59)</f>
        <v/>
      </c>
      <c r="X60" s="36">
        <f>SUM(X55:X59)</f>
        <v/>
      </c>
    </row>
    <row r="61">
      <c r="A61" s="37" t="n"/>
      <c r="B61" s="35" t="inlineStr">
        <is>
          <t>Total (Exc. GST)</t>
        </is>
      </c>
      <c r="C61" s="17" t="n"/>
      <c r="D61" s="38" t="n"/>
      <c r="E61" s="17" t="n"/>
      <c r="F61" s="38" t="n"/>
      <c r="G61" s="17" t="n"/>
      <c r="H61" s="38" t="n"/>
      <c r="I61" s="17" t="n"/>
      <c r="J61" s="38" t="n"/>
      <c r="K61" s="17" t="n"/>
      <c r="L61" s="38" t="n"/>
      <c r="M61" s="17" t="n"/>
      <c r="N61" s="38" t="n"/>
      <c r="O61" s="17" t="n"/>
      <c r="P61" s="38" t="n"/>
      <c r="Q61" s="17" t="n"/>
      <c r="R61" s="38" t="n"/>
      <c r="S61" s="17" t="n"/>
      <c r="T61" s="38" t="n"/>
      <c r="U61" s="17" t="n"/>
      <c r="V61" s="38" t="n"/>
      <c r="W61" s="38" t="n"/>
      <c r="X61" s="36">
        <f>X22+X30+X41+X48+X53+X60</f>
        <v/>
      </c>
    </row>
    <row r="62">
      <c r="A62" s="39" t="n"/>
      <c r="B62" s="40" t="n"/>
      <c r="C62" s="41" t="n"/>
      <c r="D62" s="40" t="n"/>
      <c r="E62" s="41" t="n"/>
      <c r="F62" s="40" t="n"/>
      <c r="G62" s="41" t="n"/>
      <c r="H62" s="40" t="n"/>
      <c r="I62" s="41" t="n"/>
      <c r="J62" s="40" t="n"/>
      <c r="K62" s="41" t="n"/>
      <c r="L62" s="40" t="n"/>
      <c r="M62" s="41" t="n"/>
      <c r="N62" s="40" t="n"/>
      <c r="O62" s="41" t="n"/>
      <c r="P62" s="40" t="n"/>
      <c r="Q62" s="41" t="n"/>
      <c r="R62" s="40" t="n"/>
      <c r="S62" s="41" t="n"/>
      <c r="T62" s="40" t="n"/>
      <c r="U62" s="41" t="n"/>
      <c r="V62" s="40" t="n"/>
      <c r="W62" s="40" t="n"/>
      <c r="X62" s="107" t="n"/>
    </row>
    <row r="63">
      <c r="A63" s="39" t="n"/>
      <c r="B63" s="40" t="n"/>
      <c r="C63" s="41" t="n"/>
      <c r="D63" s="40" t="n"/>
      <c r="E63" s="41" t="n"/>
      <c r="F63" s="40" t="n"/>
      <c r="G63" s="41" t="n"/>
      <c r="H63" s="40" t="n"/>
      <c r="I63" s="41" t="n"/>
      <c r="J63" s="40" t="n"/>
      <c r="K63" s="41" t="n"/>
      <c r="L63" s="40" t="n"/>
      <c r="M63" s="41" t="n"/>
      <c r="N63" s="40" t="n"/>
      <c r="O63" s="41" t="n"/>
      <c r="P63" s="40" t="n"/>
      <c r="Q63" s="41" t="n"/>
      <c r="R63" s="40" t="n"/>
      <c r="S63" s="41" t="n"/>
      <c r="T63" s="40" t="n"/>
      <c r="U63" s="41" t="n"/>
      <c r="V63" s="40" t="n"/>
      <c r="W63" s="40" t="n"/>
      <c r="X63" s="107" t="n"/>
    </row>
    <row r="64">
      <c r="A64" s="39" t="n"/>
      <c r="B64" s="40" t="n"/>
      <c r="C64" s="41" t="n"/>
      <c r="D64" s="40" t="n"/>
      <c r="E64" s="41" t="n"/>
      <c r="F64" s="40" t="n"/>
      <c r="G64" s="41" t="n"/>
      <c r="H64" s="40" t="n"/>
      <c r="I64" s="41" t="n"/>
      <c r="J64" s="40" t="n"/>
      <c r="K64" s="41" t="n"/>
      <c r="L64" s="40" t="n"/>
      <c r="M64" s="41" t="n"/>
      <c r="N64" s="40" t="n"/>
      <c r="O64" s="41" t="n"/>
      <c r="P64" s="40" t="n"/>
      <c r="Q64" s="41" t="n"/>
      <c r="R64" s="40" t="n"/>
      <c r="S64" s="41" t="n"/>
      <c r="T64" s="40" t="n"/>
      <c r="U64" s="41" t="n"/>
      <c r="V64" s="40" t="n"/>
      <c r="W64" s="40" t="n"/>
      <c r="X64" s="107" t="n"/>
    </row>
    <row r="65">
      <c r="A65" s="39" t="n"/>
      <c r="B65" s="40" t="n"/>
      <c r="C65" s="41" t="n"/>
      <c r="D65" s="40" t="n"/>
      <c r="E65" s="41" t="n"/>
      <c r="F65" s="40" t="n"/>
      <c r="G65" s="41" t="n"/>
      <c r="H65" s="40" t="n"/>
      <c r="I65" s="41" t="n"/>
      <c r="J65" s="40" t="n"/>
      <c r="K65" s="41" t="n"/>
      <c r="L65" s="40" t="n"/>
      <c r="M65" s="41" t="n"/>
      <c r="N65" s="40" t="n"/>
      <c r="O65" s="41" t="n"/>
      <c r="P65" s="40" t="n"/>
      <c r="Q65" s="41" t="n"/>
      <c r="R65" s="40" t="n"/>
      <c r="S65" s="41" t="n"/>
      <c r="T65" s="40" t="n"/>
      <c r="U65" s="41" t="n"/>
      <c r="V65" s="40" t="n"/>
      <c r="W65" s="40" t="n"/>
      <c r="X65" s="107" t="n"/>
    </row>
    <row r="66"/>
    <row r="67"/>
    <row r="68">
      <c r="B68" s="1" t="inlineStr">
        <is>
          <t>Variation 1</t>
        </is>
      </c>
      <c r="F68" s="43" t="n"/>
      <c r="J68" s="43" t="n"/>
      <c r="L68" s="43" t="n"/>
    </row>
    <row r="69">
      <c r="A69" s="62" t="inlineStr">
        <is>
          <t>Task</t>
        </is>
      </c>
      <c r="B69" s="93" t="n"/>
      <c r="C69" s="94" t="n">
        <v>400</v>
      </c>
      <c r="D69" s="95" t="n"/>
      <c r="E69" s="94" t="n">
        <v>400</v>
      </c>
      <c r="F69" s="95" t="n"/>
      <c r="G69" s="94" t="n">
        <v>400</v>
      </c>
      <c r="H69" s="95" t="n"/>
      <c r="I69" s="94" t="n">
        <v>320</v>
      </c>
      <c r="J69" s="95" t="n"/>
      <c r="K69" s="94" t="n">
        <v>320</v>
      </c>
      <c r="L69" s="95" t="n"/>
      <c r="M69" s="94" t="n">
        <v>250</v>
      </c>
      <c r="N69" s="95" t="n"/>
      <c r="O69" s="94" t="n">
        <v>220</v>
      </c>
      <c r="P69" s="95" t="n"/>
      <c r="Q69" s="94" t="n">
        <v>180</v>
      </c>
      <c r="R69" s="95" t="n"/>
      <c r="S69" s="94" t="n">
        <v>180</v>
      </c>
      <c r="T69" s="95" t="n"/>
      <c r="U69" s="94" t="n">
        <v>200</v>
      </c>
      <c r="V69" s="95" t="n"/>
      <c r="W69" s="96" t="inlineStr">
        <is>
          <t>Expenses</t>
        </is>
      </c>
      <c r="X69" s="96" t="inlineStr">
        <is>
          <t>Sub Totals</t>
        </is>
      </c>
    </row>
    <row r="70">
      <c r="A70" s="97" t="n"/>
      <c r="B70" s="98" t="n"/>
      <c r="C70" s="69" t="inlineStr">
        <is>
          <t>Rianda Mills</t>
        </is>
      </c>
      <c r="D70" s="99" t="n"/>
      <c r="E70" s="69" t="inlineStr">
        <is>
          <t>Luke Cunningham</t>
        </is>
      </c>
      <c r="F70" s="99" t="n"/>
      <c r="G70" s="69" t="inlineStr">
        <is>
          <t>Jessica Ward</t>
        </is>
      </c>
      <c r="H70" s="99" t="n"/>
      <c r="I70" s="69" t="inlineStr">
        <is>
          <t>Maria McCrann</t>
        </is>
      </c>
      <c r="J70" s="99" t="n"/>
      <c r="K70" s="69" t="inlineStr">
        <is>
          <t>Milan Wickramarachchi</t>
        </is>
      </c>
      <c r="L70" s="99" t="n"/>
      <c r="M70" s="69" t="inlineStr">
        <is>
          <t>Amin Zarrin</t>
        </is>
      </c>
      <c r="N70" s="99" t="n"/>
      <c r="O70" s="69" t="inlineStr">
        <is>
          <t>Samantha Nieves</t>
        </is>
      </c>
      <c r="P70" s="99" t="n"/>
      <c r="Q70" s="69" t="inlineStr">
        <is>
          <t>Emily Felstead</t>
        </is>
      </c>
      <c r="R70" s="99" t="n"/>
      <c r="S70" s="69" t="inlineStr">
        <is>
          <t>Holly Edmunds</t>
        </is>
      </c>
      <c r="T70" s="99" t="n"/>
      <c r="U70" s="69" t="inlineStr">
        <is>
          <t>Danni Bailey</t>
        </is>
      </c>
      <c r="V70" s="99" t="n"/>
      <c r="W70" s="100" t="n"/>
      <c r="X70" s="100" t="n"/>
    </row>
    <row r="71">
      <c r="A71" s="101" t="n"/>
      <c r="B71" s="102" t="n"/>
      <c r="C71" s="77" t="inlineStr">
        <is>
          <t>Director &amp; Principal Engineer</t>
        </is>
      </c>
      <c r="D71" s="99" t="n"/>
      <c r="E71" s="77" t="inlineStr">
        <is>
          <t>Director &amp; Principal Engineer</t>
        </is>
      </c>
      <c r="F71" s="99" t="n"/>
      <c r="G71" s="77" t="inlineStr">
        <is>
          <t>Hydrologist and Technician</t>
        </is>
      </c>
      <c r="H71" s="99" t="n"/>
      <c r="I71" s="77" t="inlineStr">
        <is>
          <t>Senior Engineer</t>
        </is>
      </c>
      <c r="J71" s="99" t="n"/>
      <c r="K71" s="77" t="inlineStr">
        <is>
          <t>Senior Engineer</t>
        </is>
      </c>
      <c r="L71" s="99" t="n"/>
      <c r="M71" s="77" t="inlineStr">
        <is>
          <t>Project Engineer</t>
        </is>
      </c>
      <c r="N71" s="99" t="n"/>
      <c r="O71" s="77" t="inlineStr">
        <is>
          <t>Graduate Scientist</t>
        </is>
      </c>
      <c r="P71" s="99" t="n"/>
      <c r="Q71" s="77" t="inlineStr">
        <is>
          <t>Graduate Engineer</t>
        </is>
      </c>
      <c r="R71" s="99" t="n"/>
      <c r="S71" s="77" t="inlineStr">
        <is>
          <t>Executive Assistant</t>
        </is>
      </c>
      <c r="T71" s="99" t="n"/>
      <c r="U71" s="77" t="inlineStr">
        <is>
          <t>Operations Coordinator</t>
        </is>
      </c>
      <c r="V71" s="99" t="n"/>
      <c r="W71" s="103" t="n"/>
      <c r="X71" s="103" t="n"/>
    </row>
    <row r="72">
      <c r="A72" s="22" t="inlineStr">
        <is>
          <t>Item</t>
        </is>
      </c>
      <c r="B72" s="23" t="inlineStr">
        <is>
          <t>Description</t>
        </is>
      </c>
      <c r="C72" s="69" t="inlineStr">
        <is>
          <t>Hours</t>
        </is>
      </c>
      <c r="D72" s="69" t="inlineStr">
        <is>
          <t>Fee (Exc. GST)</t>
        </is>
      </c>
      <c r="E72" s="69" t="inlineStr">
        <is>
          <t>Hours</t>
        </is>
      </c>
      <c r="F72" s="69" t="inlineStr">
        <is>
          <t>Fee (Exc. GST)</t>
        </is>
      </c>
      <c r="G72" s="69" t="inlineStr">
        <is>
          <t>Hours</t>
        </is>
      </c>
      <c r="H72" s="69" t="inlineStr">
        <is>
          <t>Fee (Exc. GST)</t>
        </is>
      </c>
      <c r="I72" s="69" t="inlineStr">
        <is>
          <t>Hours</t>
        </is>
      </c>
      <c r="J72" s="69" t="inlineStr">
        <is>
          <t>Fee (Exc. GST)</t>
        </is>
      </c>
      <c r="K72" s="69" t="inlineStr">
        <is>
          <t>Hours</t>
        </is>
      </c>
      <c r="L72" s="69" t="inlineStr">
        <is>
          <t>Fee (Exc. GST)</t>
        </is>
      </c>
      <c r="M72" s="69" t="inlineStr">
        <is>
          <t>Hours</t>
        </is>
      </c>
      <c r="N72" s="69" t="inlineStr">
        <is>
          <t>Fee (Exc. GST)</t>
        </is>
      </c>
      <c r="O72" s="69" t="inlineStr">
        <is>
          <t>Hours</t>
        </is>
      </c>
      <c r="P72" s="69" t="inlineStr">
        <is>
          <t>Fee (Exc. GST)</t>
        </is>
      </c>
      <c r="Q72" s="69" t="inlineStr">
        <is>
          <t>Hours</t>
        </is>
      </c>
      <c r="R72" s="69" t="inlineStr">
        <is>
          <t>Fee (Exc. GST)</t>
        </is>
      </c>
      <c r="S72" s="69" t="inlineStr">
        <is>
          <t>Hours</t>
        </is>
      </c>
      <c r="T72" s="69" t="inlineStr">
        <is>
          <t>Fee (Exc. GST)</t>
        </is>
      </c>
      <c r="U72" s="69" t="inlineStr">
        <is>
          <t>Hours</t>
        </is>
      </c>
      <c r="V72" s="69" t="inlineStr">
        <is>
          <t>Fee (Exc. GST)</t>
        </is>
      </c>
      <c r="W72" s="69" t="inlineStr">
        <is>
          <t>Fee (Exc. GST)</t>
        </is>
      </c>
      <c r="X72" s="69" t="inlineStr">
        <is>
          <t>Exc. GST</t>
        </is>
      </c>
    </row>
    <row r="73">
      <c r="A73" s="11" t="n">
        <v>1</v>
      </c>
      <c r="B73" s="12" t="inlineStr">
        <is>
          <t>INSERT TASK HERE</t>
        </is>
      </c>
      <c r="C73" s="32" t="n"/>
      <c r="D73" s="105">
        <f>C73*C$8</f>
        <v/>
      </c>
      <c r="E73" s="32" t="n"/>
      <c r="F73" s="105">
        <f>E73*E$8</f>
        <v/>
      </c>
      <c r="G73" s="32" t="n"/>
      <c r="H73" s="105">
        <f>G73*G$8</f>
        <v/>
      </c>
      <c r="I73" s="32" t="n"/>
      <c r="J73" s="105">
        <f>I73*I$8</f>
        <v/>
      </c>
      <c r="K73" s="32" t="n"/>
      <c r="L73" s="105">
        <f>K73*K$8</f>
        <v/>
      </c>
      <c r="M73" s="32" t="n"/>
      <c r="N73" s="105">
        <f>M73*M$8</f>
        <v/>
      </c>
      <c r="O73" s="32" t="n"/>
      <c r="P73" s="105">
        <f>O73*O$8</f>
        <v/>
      </c>
      <c r="Q73" s="32" t="n"/>
      <c r="R73" s="105">
        <f>Q73*Q$8</f>
        <v/>
      </c>
      <c r="S73" s="32" t="n"/>
      <c r="T73" s="105">
        <f>S73*S$8</f>
        <v/>
      </c>
      <c r="U73" s="32" t="n"/>
      <c r="V73" s="105">
        <f>U73*U$8</f>
        <v/>
      </c>
      <c r="W73" s="105" t="n"/>
      <c r="X73" s="106">
        <f>(SUM(W73+P73+F73+N73+D73+T73+L73+R73+V73+J73))</f>
        <v/>
      </c>
    </row>
    <row r="74">
      <c r="A74" s="11" t="n">
        <v>2</v>
      </c>
      <c r="B74" s="12" t="n"/>
      <c r="C74" s="32" t="n"/>
      <c r="D74" s="105">
        <f>C74*C$8</f>
        <v/>
      </c>
      <c r="E74" s="32" t="n"/>
      <c r="F74" s="105">
        <f>E74*E$8</f>
        <v/>
      </c>
      <c r="G74" s="32" t="n"/>
      <c r="H74" s="105">
        <f>G74*G$8</f>
        <v/>
      </c>
      <c r="I74" s="32" t="n"/>
      <c r="J74" s="105">
        <f>I74*I$8</f>
        <v/>
      </c>
      <c r="K74" s="32" t="n"/>
      <c r="L74" s="105">
        <f>K74*K$8</f>
        <v/>
      </c>
      <c r="M74" s="32" t="n"/>
      <c r="N74" s="105">
        <f>M74*M$8</f>
        <v/>
      </c>
      <c r="O74" s="32" t="n"/>
      <c r="P74" s="105">
        <f>O74*O$8</f>
        <v/>
      </c>
      <c r="Q74" s="32" t="n"/>
      <c r="R74" s="105">
        <f>Q74*Q$8</f>
        <v/>
      </c>
      <c r="S74" s="32" t="n"/>
      <c r="T74" s="105">
        <f>S74*S$8</f>
        <v/>
      </c>
      <c r="U74" s="32" t="n"/>
      <c r="V74" s="105">
        <f>U74*U$8</f>
        <v/>
      </c>
      <c r="W74" s="105" t="n"/>
      <c r="X74" s="106">
        <f>(SUM(W74+P74+F74+N74+D74+T74+L74+R74+V74+J74))</f>
        <v/>
      </c>
    </row>
    <row r="75">
      <c r="A75" s="11" t="n">
        <v>3</v>
      </c>
      <c r="B75" s="12" t="n"/>
      <c r="C75" s="32" t="n"/>
      <c r="D75" s="105">
        <f>C75*C$8</f>
        <v/>
      </c>
      <c r="E75" s="32" t="n"/>
      <c r="F75" s="105">
        <f>E75*E$8</f>
        <v/>
      </c>
      <c r="G75" s="32" t="n"/>
      <c r="H75" s="105">
        <f>G75*G$8</f>
        <v/>
      </c>
      <c r="I75" s="32" t="n"/>
      <c r="J75" s="105">
        <f>I75*I$8</f>
        <v/>
      </c>
      <c r="K75" s="32" t="n"/>
      <c r="L75" s="105">
        <f>K75*K$8</f>
        <v/>
      </c>
      <c r="M75" s="32" t="n"/>
      <c r="N75" s="105">
        <f>M75*M$8</f>
        <v/>
      </c>
      <c r="O75" s="32" t="n"/>
      <c r="P75" s="105">
        <f>O75*O$8</f>
        <v/>
      </c>
      <c r="Q75" s="32" t="n"/>
      <c r="R75" s="105">
        <f>Q75*Q$8</f>
        <v/>
      </c>
      <c r="S75" s="32" t="n"/>
      <c r="T75" s="105">
        <f>S75*S$8</f>
        <v/>
      </c>
      <c r="U75" s="32" t="n"/>
      <c r="V75" s="105">
        <f>U75*U$8</f>
        <v/>
      </c>
      <c r="W75" s="105" t="n"/>
      <c r="X75" s="106">
        <f>(SUM(W75+P75+F75+N75+D75+T75+L75+R75+V75+J75))</f>
        <v/>
      </c>
    </row>
    <row r="76">
      <c r="A76" s="11" t="n">
        <v>4</v>
      </c>
      <c r="B76" s="12" t="n"/>
      <c r="C76" s="32" t="n"/>
      <c r="D76" s="105">
        <f>C76*C$8</f>
        <v/>
      </c>
      <c r="E76" s="32" t="n"/>
      <c r="F76" s="105">
        <f>E76*E$8</f>
        <v/>
      </c>
      <c r="G76" s="32" t="n"/>
      <c r="H76" s="105">
        <f>G76*G$8</f>
        <v/>
      </c>
      <c r="I76" s="32" t="n"/>
      <c r="J76" s="105">
        <f>I76*I$8</f>
        <v/>
      </c>
      <c r="K76" s="32" t="n"/>
      <c r="L76" s="105">
        <f>K76*K$8</f>
        <v/>
      </c>
      <c r="M76" s="32" t="n"/>
      <c r="N76" s="105">
        <f>M76*M$8</f>
        <v/>
      </c>
      <c r="O76" s="32" t="n"/>
      <c r="P76" s="105">
        <f>O76*O$8</f>
        <v/>
      </c>
      <c r="Q76" s="32" t="n"/>
      <c r="R76" s="105">
        <f>Q76*Q$8</f>
        <v/>
      </c>
      <c r="S76" s="32" t="n"/>
      <c r="T76" s="105">
        <f>S76*S$8</f>
        <v/>
      </c>
      <c r="U76" s="32" t="n"/>
      <c r="V76" s="105">
        <f>U76*U$8</f>
        <v/>
      </c>
      <c r="W76" s="105" t="n"/>
      <c r="X76" s="106">
        <f>(SUM(W76+P76+F76+N76+D76+T76+L76+R76+V76+J76))</f>
        <v/>
      </c>
    </row>
    <row r="77">
      <c r="A77" s="11" t="n">
        <v>5</v>
      </c>
      <c r="B77" s="12" t="n"/>
      <c r="C77" s="32" t="n"/>
      <c r="D77" s="105">
        <f>C77*C$8</f>
        <v/>
      </c>
      <c r="E77" s="32" t="n"/>
      <c r="F77" s="105">
        <f>E77*E$8</f>
        <v/>
      </c>
      <c r="G77" s="32" t="n"/>
      <c r="H77" s="105">
        <f>G77*G$8</f>
        <v/>
      </c>
      <c r="I77" s="32" t="n"/>
      <c r="J77" s="105">
        <f>I77*I$8</f>
        <v/>
      </c>
      <c r="K77" s="32" t="n"/>
      <c r="L77" s="105">
        <f>K77*K$8</f>
        <v/>
      </c>
      <c r="M77" s="32" t="n"/>
      <c r="N77" s="105">
        <f>M77*M$8</f>
        <v/>
      </c>
      <c r="O77" s="32" t="n"/>
      <c r="P77" s="105">
        <f>O77*O$8</f>
        <v/>
      </c>
      <c r="Q77" s="32" t="n"/>
      <c r="R77" s="105">
        <f>Q77*Q$8</f>
        <v/>
      </c>
      <c r="S77" s="32" t="n"/>
      <c r="T77" s="105">
        <f>S77*S$8</f>
        <v/>
      </c>
      <c r="U77" s="32" t="n"/>
      <c r="V77" s="105">
        <f>U77*U$8</f>
        <v/>
      </c>
      <c r="W77" s="105" t="n"/>
      <c r="X77" s="106">
        <f>(SUM(W77+P77+F77+N77+D77+T77+L77+R77+V77+J77))</f>
        <v/>
      </c>
    </row>
    <row r="78">
      <c r="A78" s="34" t="n"/>
      <c r="B78" s="35" t="inlineStr">
        <is>
          <t>Sub Total</t>
        </is>
      </c>
      <c r="C78" s="32">
        <f>SUM(C35:C39)</f>
        <v/>
      </c>
      <c r="D78" s="105">
        <f>SUM(D35:D39)</f>
        <v/>
      </c>
      <c r="E78" s="32">
        <f>SUM(E35:E39)</f>
        <v/>
      </c>
      <c r="F78" s="105">
        <f>SUM(F35:F39)</f>
        <v/>
      </c>
      <c r="G78" s="32">
        <f>SUM(G35:G39)</f>
        <v/>
      </c>
      <c r="H78" s="105">
        <f>SUM(H35:H39)</f>
        <v/>
      </c>
      <c r="I78" s="32">
        <f>SUM(I35:I39)</f>
        <v/>
      </c>
      <c r="J78" s="105">
        <f>SUM(J35:J39)</f>
        <v/>
      </c>
      <c r="K78" s="32">
        <f>SUM(K35:K39)</f>
        <v/>
      </c>
      <c r="L78" s="105">
        <f>SUM(L35:L39)</f>
        <v/>
      </c>
      <c r="M78" s="32">
        <f>SUM(M35:M39)</f>
        <v/>
      </c>
      <c r="N78" s="105">
        <f>SUM(N35:N39)</f>
        <v/>
      </c>
      <c r="O78" s="32">
        <f>SUM(O35:O39)</f>
        <v/>
      </c>
      <c r="P78" s="105">
        <f>SUM(P35:P39)</f>
        <v/>
      </c>
      <c r="Q78" s="32">
        <f>SUM(Q35:Q39)</f>
        <v/>
      </c>
      <c r="R78" s="105">
        <f>SUM(R35:R39)</f>
        <v/>
      </c>
      <c r="S78" s="32">
        <f>SUM(S35:S39)</f>
        <v/>
      </c>
      <c r="T78" s="105">
        <f>SUM(T35:T39)</f>
        <v/>
      </c>
      <c r="U78" s="32">
        <f>SUM(U35:U39)</f>
        <v/>
      </c>
      <c r="V78" s="105">
        <f>SUM(V35:V39)</f>
        <v/>
      </c>
      <c r="W78" s="105">
        <f>SUM(W35:W35)</f>
        <v/>
      </c>
      <c r="X78" s="36" t="n"/>
    </row>
    <row r="79">
      <c r="A79" s="37" t="n"/>
      <c r="B79" s="17" t="inlineStr">
        <is>
          <t>Total (Exc. GST)</t>
        </is>
      </c>
      <c r="C79" s="17" t="n"/>
      <c r="D79" s="38" t="n"/>
      <c r="E79" s="17" t="n"/>
      <c r="F79" s="38" t="n"/>
      <c r="G79" s="17" t="n"/>
      <c r="H79" s="38" t="n"/>
      <c r="I79" s="17" t="n"/>
      <c r="J79" s="38" t="n"/>
      <c r="K79" s="17" t="n"/>
      <c r="L79" s="38" t="n"/>
      <c r="M79" s="17" t="n"/>
      <c r="N79" s="38" t="n"/>
      <c r="O79" s="17" t="n"/>
      <c r="P79" s="38" t="n"/>
      <c r="Q79" s="17" t="n"/>
      <c r="R79" s="38" t="n"/>
      <c r="S79" s="17" t="n"/>
      <c r="T79" s="38" t="n"/>
      <c r="U79" s="17" t="n"/>
      <c r="V79" s="38" t="n"/>
      <c r="W79" s="38" t="n"/>
      <c r="X79" s="108">
        <f>SUM(X35:X39)</f>
        <v/>
      </c>
    </row>
    <row r="80"/>
    <row r="81"/>
    <row r="82"/>
    <row r="83">
      <c r="L83" s="39" t="n"/>
    </row>
    <row r="84">
      <c r="H84" s="44" t="n"/>
      <c r="L84" s="39" t="n"/>
    </row>
    <row r="85">
      <c r="L85" s="45" t="n"/>
    </row>
  </sheetData>
  <mergeCells count="69">
    <mergeCell ref="U9:V9"/>
    <mergeCell ref="C6:D6"/>
    <mergeCell ref="E71:F71"/>
    <mergeCell ref="K9:L9"/>
    <mergeCell ref="W8:W10"/>
    <mergeCell ref="G71:H71"/>
    <mergeCell ref="M9:N9"/>
    <mergeCell ref="Q71:R71"/>
    <mergeCell ref="O9:P9"/>
    <mergeCell ref="S71:T71"/>
    <mergeCell ref="E8:F8"/>
    <mergeCell ref="M70:N70"/>
    <mergeCell ref="X69:X71"/>
    <mergeCell ref="M69:N69"/>
    <mergeCell ref="M10:N10"/>
    <mergeCell ref="X8:X10"/>
    <mergeCell ref="E69:F69"/>
    <mergeCell ref="I71:J71"/>
    <mergeCell ref="G69:H69"/>
    <mergeCell ref="Q69:R69"/>
    <mergeCell ref="S69:T69"/>
    <mergeCell ref="S10:T10"/>
    <mergeCell ref="K8:L8"/>
    <mergeCell ref="K71:L71"/>
    <mergeCell ref="Q9:R9"/>
    <mergeCell ref="C70:D70"/>
    <mergeCell ref="S9:T9"/>
    <mergeCell ref="E70:F70"/>
    <mergeCell ref="M8:N8"/>
    <mergeCell ref="A8:B10"/>
    <mergeCell ref="O8:P8"/>
    <mergeCell ref="O70:P70"/>
    <mergeCell ref="Q70:R70"/>
    <mergeCell ref="I69:J69"/>
    <mergeCell ref="M71:N71"/>
    <mergeCell ref="K69:L69"/>
    <mergeCell ref="C69:D69"/>
    <mergeCell ref="U69:V69"/>
    <mergeCell ref="O10:P10"/>
    <mergeCell ref="C5:D5"/>
    <mergeCell ref="G8:H8"/>
    <mergeCell ref="G70:H70"/>
    <mergeCell ref="I70:J70"/>
    <mergeCell ref="Q8:R8"/>
    <mergeCell ref="C4:D4"/>
    <mergeCell ref="S8:T8"/>
    <mergeCell ref="S70:T70"/>
    <mergeCell ref="A69:B71"/>
    <mergeCell ref="U70:V70"/>
    <mergeCell ref="C10:D10"/>
    <mergeCell ref="E10:F10"/>
    <mergeCell ref="G10:H10"/>
    <mergeCell ref="Q10:R10"/>
    <mergeCell ref="C9:D9"/>
    <mergeCell ref="E9:F9"/>
    <mergeCell ref="O69:P69"/>
    <mergeCell ref="W69:W71"/>
    <mergeCell ref="C71:D71"/>
    <mergeCell ref="U71:V71"/>
    <mergeCell ref="I8:J8"/>
    <mergeCell ref="O71:P71"/>
    <mergeCell ref="K70:L70"/>
    <mergeCell ref="C8:D8"/>
    <mergeCell ref="U8:V8"/>
    <mergeCell ref="I10:J10"/>
    <mergeCell ref="K10:L10"/>
    <mergeCell ref="U10:V10"/>
    <mergeCell ref="G9:H9"/>
    <mergeCell ref="I9:J9"/>
  </mergeCells>
  <conditionalFormatting sqref="D12:D21 F12:H21 J12:J21 L12:L21 N12:N21 P12:P21 R12:R21 T12:T21 V12:W21">
    <cfRule type="cellIs" priority="7" operator="equal" dxfId="0">
      <formula>0</formula>
    </cfRule>
  </conditionalFormatting>
  <conditionalFormatting sqref="D35:D39 F35:H39 J35:J39 L35:L39 N35:N39 P35:P39 R35:R39 T35:T39 V35:W39">
    <cfRule type="cellIs" priority="2" operator="equal" dxfId="0">
      <formula>0</formula>
    </cfRule>
  </conditionalFormatting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D4" sqref="D4:E6"/>
    </sheetView>
  </sheetViews>
  <sheetFormatPr baseColWidth="8" defaultColWidth="9.1796875" defaultRowHeight="14"/>
  <cols>
    <col width="5.7265625" bestFit="1" customWidth="1" style="2" min="1" max="1"/>
    <col width="46.54296875" bestFit="1" customWidth="1" style="2" min="2" max="2"/>
    <col width="10.81640625" bestFit="1" customWidth="1" style="2" min="3" max="3"/>
    <col width="13.7265625" bestFit="1" customWidth="1" style="3" min="4" max="4"/>
    <col width="15" bestFit="1" customWidth="1" style="109" min="5" max="5"/>
    <col width="13.7265625" bestFit="1" customWidth="1" style="3" min="6" max="6"/>
    <col width="15" bestFit="1" customWidth="1" style="2" min="7" max="7"/>
    <col width="13.7265625" bestFit="1" customWidth="1" style="3" min="8" max="8"/>
    <col width="15" customWidth="1" style="2" min="9" max="9"/>
    <col width="13.7265625" bestFit="1" customWidth="1" style="3" min="10" max="10"/>
    <col width="15" bestFit="1" customWidth="1" style="2" min="11" max="11"/>
    <col width="13.7265625" bestFit="1" customWidth="1" style="3" min="12" max="12"/>
    <col width="15" bestFit="1" customWidth="1" style="2" min="13" max="13"/>
    <col width="13.7265625" bestFit="1" customWidth="1" style="3" min="14" max="14"/>
    <col width="15" bestFit="1" customWidth="1" style="2" min="15" max="15"/>
    <col width="9.1796875" customWidth="1" style="2" min="16" max="17"/>
    <col width="13.7265625" bestFit="1" customWidth="1" style="3" min="18" max="18"/>
    <col width="13.7265625" bestFit="1" customWidth="1" style="2" min="19" max="19"/>
    <col width="9.1796875" customWidth="1" style="2" min="20" max="20"/>
    <col width="16.26953125" bestFit="1" customWidth="1" style="2" min="21" max="21"/>
    <col width="9.1796875" customWidth="1" style="2" min="22" max="16384"/>
  </cols>
  <sheetData>
    <row r="1" ht="20" customHeight="1">
      <c r="A1" s="1" t="inlineStr">
        <is>
          <t>Rain Invoice Tracker</t>
        </is>
      </c>
    </row>
    <row r="3" ht="14.5" customHeight="1" thickBot="1"/>
    <row r="4" ht="14.5" customHeight="1">
      <c r="A4" s="62" t="inlineStr">
        <is>
          <t>Task</t>
        </is>
      </c>
      <c r="B4" s="93" t="n"/>
      <c r="C4" s="110" t="inlineStr">
        <is>
          <t>Sub Totals</t>
        </is>
      </c>
      <c r="D4" s="62" t="inlineStr">
        <is>
          <t>&lt;insert month&gt;</t>
        </is>
      </c>
      <c r="E4" s="93" t="n"/>
      <c r="F4" s="62" t="inlineStr">
        <is>
          <t>&lt;insert month&gt;</t>
        </is>
      </c>
      <c r="G4" s="93" t="n"/>
      <c r="H4" s="62" t="inlineStr">
        <is>
          <t>&lt;insert month&gt;</t>
        </is>
      </c>
      <c r="I4" s="93" t="n"/>
      <c r="J4" s="62" t="inlineStr">
        <is>
          <t>&lt;insert month&gt;</t>
        </is>
      </c>
      <c r="K4" s="93" t="n"/>
      <c r="L4" s="62" t="inlineStr">
        <is>
          <t>&lt;insert month&gt;</t>
        </is>
      </c>
      <c r="M4" s="93" t="n"/>
      <c r="N4" s="62" t="inlineStr">
        <is>
          <t>&lt;insert month&gt;</t>
        </is>
      </c>
      <c r="O4" s="93" t="n"/>
      <c r="R4" s="62" t="inlineStr">
        <is>
          <t>Invoiced to date</t>
        </is>
      </c>
      <c r="S4" s="93" t="n"/>
    </row>
    <row r="5" ht="14.5" customHeight="1">
      <c r="A5" s="97" t="n"/>
      <c r="B5" s="98" t="n"/>
      <c r="C5" s="111" t="n"/>
      <c r="D5" s="97" t="n"/>
      <c r="E5" s="98" t="n"/>
      <c r="F5" s="97" t="n"/>
      <c r="G5" s="98" t="n"/>
      <c r="H5" s="97" t="n"/>
      <c r="I5" s="98" t="n"/>
      <c r="J5" s="97" t="n"/>
      <c r="K5" s="98" t="n"/>
      <c r="L5" s="97" t="n"/>
      <c r="M5" s="98" t="n"/>
      <c r="N5" s="97" t="n"/>
      <c r="O5" s="98" t="n"/>
      <c r="R5" s="97" t="n"/>
      <c r="S5" s="98" t="n"/>
    </row>
    <row r="6" ht="15" customHeight="1" thickBot="1">
      <c r="A6" s="101" t="n"/>
      <c r="B6" s="102" t="n"/>
      <c r="C6" s="112" t="n"/>
      <c r="D6" s="101" t="n"/>
      <c r="E6" s="102" t="n"/>
      <c r="F6" s="101" t="n"/>
      <c r="G6" s="102" t="n"/>
      <c r="H6" s="101" t="n"/>
      <c r="I6" s="102" t="n"/>
      <c r="J6" s="101" t="n"/>
      <c r="K6" s="102" t="n"/>
      <c r="L6" s="101" t="n"/>
      <c r="M6" s="102" t="n"/>
      <c r="N6" s="101" t="n"/>
      <c r="O6" s="102" t="n"/>
      <c r="R6" s="101" t="n"/>
      <c r="S6" s="102" t="n"/>
    </row>
    <row r="7">
      <c r="A7" s="5" t="inlineStr">
        <is>
          <t>Item</t>
        </is>
      </c>
      <c r="B7" s="6" t="inlineStr">
        <is>
          <t>Description</t>
        </is>
      </c>
      <c r="C7" s="7" t="inlineStr">
        <is>
          <t>Exc. GST</t>
        </is>
      </c>
      <c r="D7" s="8" t="inlineStr">
        <is>
          <t>% complete</t>
        </is>
      </c>
      <c r="E7" s="113" t="inlineStr">
        <is>
          <t>Invoice total</t>
        </is>
      </c>
      <c r="F7" s="8" t="inlineStr">
        <is>
          <t>% complete</t>
        </is>
      </c>
      <c r="G7" s="10" t="inlineStr">
        <is>
          <t>Invoice total</t>
        </is>
      </c>
      <c r="H7" s="8" t="inlineStr">
        <is>
          <t>% complete</t>
        </is>
      </c>
      <c r="I7" s="10" t="inlineStr">
        <is>
          <t>Invoice total</t>
        </is>
      </c>
      <c r="J7" s="8" t="inlineStr">
        <is>
          <t>% complete</t>
        </is>
      </c>
      <c r="K7" s="10" t="inlineStr">
        <is>
          <t>Invoice total</t>
        </is>
      </c>
      <c r="L7" s="8" t="inlineStr">
        <is>
          <t>% complete</t>
        </is>
      </c>
      <c r="M7" s="10" t="inlineStr">
        <is>
          <t>Invoice total</t>
        </is>
      </c>
      <c r="N7" s="8" t="inlineStr">
        <is>
          <t>% complete</t>
        </is>
      </c>
      <c r="O7" s="10" t="inlineStr">
        <is>
          <t>Invoice total</t>
        </is>
      </c>
      <c r="R7" s="8" t="inlineStr">
        <is>
          <t>% complete</t>
        </is>
      </c>
      <c r="S7" s="10" t="inlineStr">
        <is>
          <t>Invoice total</t>
        </is>
      </c>
      <c r="U7" s="23" t="inlineStr">
        <is>
          <t>Remaining Fee</t>
        </is>
      </c>
    </row>
    <row r="8">
      <c r="A8" s="11">
        <f>'Rain Fee'!A12</f>
        <v/>
      </c>
      <c r="B8" s="12">
        <f>'Rain Fee'!B12</f>
        <v/>
      </c>
      <c r="C8" s="114">
        <f>'Rain Fee'!X12</f>
        <v/>
      </c>
      <c r="D8" s="14" t="n"/>
      <c r="E8" s="115">
        <f>+C8*(D8)</f>
        <v/>
      </c>
      <c r="F8" s="14" t="n"/>
      <c r="G8" s="115">
        <f>+C8*(F8)</f>
        <v/>
      </c>
      <c r="H8" s="14" t="n"/>
      <c r="I8" s="115">
        <f>+E8*(H8)</f>
        <v/>
      </c>
      <c r="J8" s="14" t="n"/>
      <c r="K8" s="115">
        <f>+G8*(J8)</f>
        <v/>
      </c>
      <c r="L8" s="14" t="n"/>
      <c r="M8" s="115">
        <f>+I8*(L8)</f>
        <v/>
      </c>
      <c r="N8" s="14" t="n"/>
      <c r="O8" s="115">
        <f>+K8*(N8)</f>
        <v/>
      </c>
      <c r="R8" s="14">
        <f>D8+F8+H8+J8+L8+N8</f>
        <v/>
      </c>
      <c r="S8" s="115">
        <f>E8+G8+I8+K8+M8+O8</f>
        <v/>
      </c>
      <c r="U8" s="116">
        <f>C8-S8</f>
        <v/>
      </c>
    </row>
    <row r="9">
      <c r="A9" s="11">
        <f>'Rain Fee'!A13</f>
        <v/>
      </c>
      <c r="B9" s="12">
        <f>'Rain Fee'!B13</f>
        <v/>
      </c>
      <c r="C9" s="114">
        <f>'Rain Fee'!X13</f>
        <v/>
      </c>
      <c r="D9" s="14" t="n"/>
      <c r="E9" s="115">
        <f>+C9*(D9)</f>
        <v/>
      </c>
      <c r="F9" s="14" t="n"/>
      <c r="G9" s="115">
        <f>+C9*(F9)</f>
        <v/>
      </c>
      <c r="H9" s="14" t="n"/>
      <c r="I9" s="115">
        <f>+E9*(H9)</f>
        <v/>
      </c>
      <c r="J9" s="14" t="n"/>
      <c r="K9" s="115">
        <f>+G9*(J9)</f>
        <v/>
      </c>
      <c r="L9" s="14" t="n"/>
      <c r="M9" s="115">
        <f>+I9*(L9)</f>
        <v/>
      </c>
      <c r="N9" s="14" t="n"/>
      <c r="O9" s="115">
        <f>+K9*(N9)</f>
        <v/>
      </c>
      <c r="R9" s="14">
        <f>D9+F9+H9+J9+L9+N9</f>
        <v/>
      </c>
      <c r="S9" s="115">
        <f>E9+G9+I9+K9+M9+O9</f>
        <v/>
      </c>
      <c r="U9" s="116">
        <f>C9-S9</f>
        <v/>
      </c>
    </row>
    <row r="10">
      <c r="A10" s="11">
        <f>'Rain Fee'!A14</f>
        <v/>
      </c>
      <c r="B10" s="12">
        <f>'Rain Fee'!B14</f>
        <v/>
      </c>
      <c r="C10" s="114">
        <f>'Rain Fee'!X14</f>
        <v/>
      </c>
      <c r="D10" s="14" t="n"/>
      <c r="E10" s="115">
        <f>+C10*(D10)</f>
        <v/>
      </c>
      <c r="F10" s="14" t="n"/>
      <c r="G10" s="115">
        <f>+C10*(F10)</f>
        <v/>
      </c>
      <c r="H10" s="14" t="n"/>
      <c r="I10" s="115">
        <f>+E10*(H10)</f>
        <v/>
      </c>
      <c r="J10" s="14" t="n"/>
      <c r="K10" s="115">
        <f>+G10*(J10)</f>
        <v/>
      </c>
      <c r="L10" s="14" t="n"/>
      <c r="M10" s="115">
        <f>+I10*(L10)</f>
        <v/>
      </c>
      <c r="N10" s="14" t="n"/>
      <c r="O10" s="115">
        <f>+K10*(N10)</f>
        <v/>
      </c>
      <c r="R10" s="14">
        <f>D10+F10+H10+J10+L10+N10</f>
        <v/>
      </c>
      <c r="S10" s="115">
        <f>E10+G10+I10+K10+M10+O10</f>
        <v/>
      </c>
      <c r="U10" s="116">
        <f>C10-S10</f>
        <v/>
      </c>
    </row>
    <row r="11">
      <c r="A11" s="11">
        <f>'Rain Fee'!A15</f>
        <v/>
      </c>
      <c r="B11" s="12">
        <f>'Rain Fee'!B15</f>
        <v/>
      </c>
      <c r="C11" s="114">
        <f>'Rain Fee'!X15</f>
        <v/>
      </c>
      <c r="D11" s="14" t="n"/>
      <c r="E11" s="115">
        <f>+C11*(D11)</f>
        <v/>
      </c>
      <c r="F11" s="14" t="n"/>
      <c r="G11" s="115">
        <f>+C11*(F11)</f>
        <v/>
      </c>
      <c r="H11" s="14" t="n"/>
      <c r="I11" s="115">
        <f>+E11*(H11)</f>
        <v/>
      </c>
      <c r="J11" s="14" t="n"/>
      <c r="K11" s="115">
        <f>+G11*(J11)</f>
        <v/>
      </c>
      <c r="L11" s="14" t="n"/>
      <c r="M11" s="115">
        <f>+I11*(L11)</f>
        <v/>
      </c>
      <c r="N11" s="14" t="n"/>
      <c r="O11" s="115">
        <f>+K11*(N11)</f>
        <v/>
      </c>
      <c r="R11" s="14">
        <f>D11+F11+H11+J11+L11+N11</f>
        <v/>
      </c>
      <c r="S11" s="115">
        <f>E11+G11+I11+K11+M11+O11</f>
        <v/>
      </c>
      <c r="U11" s="116">
        <f>C11-S11</f>
        <v/>
      </c>
    </row>
    <row r="12">
      <c r="A12" s="11">
        <f>'Rain Fee'!A16</f>
        <v/>
      </c>
      <c r="B12" s="12">
        <f>'Rain Fee'!B16</f>
        <v/>
      </c>
      <c r="C12" s="114">
        <f>'Rain Fee'!X16</f>
        <v/>
      </c>
      <c r="D12" s="14" t="n"/>
      <c r="E12" s="115">
        <f>+C12*(D12)</f>
        <v/>
      </c>
      <c r="F12" s="14" t="n"/>
      <c r="G12" s="115">
        <f>+C12*(F12)</f>
        <v/>
      </c>
      <c r="H12" s="14" t="n"/>
      <c r="I12" s="115">
        <f>+E12*(H12)</f>
        <v/>
      </c>
      <c r="J12" s="14" t="n"/>
      <c r="K12" s="115">
        <f>+G12*(J12)</f>
        <v/>
      </c>
      <c r="L12" s="14" t="n"/>
      <c r="M12" s="115">
        <f>+I12*(L12)</f>
        <v/>
      </c>
      <c r="N12" s="14" t="n"/>
      <c r="O12" s="115">
        <f>+K12*(N12)</f>
        <v/>
      </c>
      <c r="R12" s="14">
        <f>D12+F12+H12+J12+L12+N12</f>
        <v/>
      </c>
      <c r="S12" s="115">
        <f>E12+G12+I12+K12+M12+O12</f>
        <v/>
      </c>
      <c r="U12" s="116">
        <f>C12-S12</f>
        <v/>
      </c>
    </row>
    <row r="13">
      <c r="A13" s="11">
        <f>'Rain Fee'!A17</f>
        <v/>
      </c>
      <c r="B13" s="12">
        <f>'Rain Fee'!B17</f>
        <v/>
      </c>
      <c r="C13" s="114">
        <f>'Rain Fee'!X17</f>
        <v/>
      </c>
      <c r="D13" s="14" t="n"/>
      <c r="E13" s="115">
        <f>+C13*(D13)</f>
        <v/>
      </c>
      <c r="F13" s="14" t="n"/>
      <c r="G13" s="115">
        <f>+C13*(F13)</f>
        <v/>
      </c>
      <c r="H13" s="14" t="n"/>
      <c r="I13" s="115">
        <f>+E13*(H13)</f>
        <v/>
      </c>
      <c r="J13" s="14" t="n"/>
      <c r="K13" s="115">
        <f>+G13*(J13)</f>
        <v/>
      </c>
      <c r="L13" s="14" t="n"/>
      <c r="M13" s="115">
        <f>+I13*(L13)</f>
        <v/>
      </c>
      <c r="N13" s="14" t="n"/>
      <c r="O13" s="115">
        <f>+K13*(N13)</f>
        <v/>
      </c>
      <c r="R13" s="14">
        <f>D13+F13+H13+J13+L13+N13</f>
        <v/>
      </c>
      <c r="S13" s="115">
        <f>E13+G13+I13+K13+M13+O13</f>
        <v/>
      </c>
      <c r="U13" s="116">
        <f>C13-S13</f>
        <v/>
      </c>
    </row>
    <row r="14">
      <c r="A14" s="11">
        <f>'Rain Fee'!A18</f>
        <v/>
      </c>
      <c r="B14" s="12">
        <f>'Rain Fee'!B18</f>
        <v/>
      </c>
      <c r="C14" s="114">
        <f>'Rain Fee'!X18</f>
        <v/>
      </c>
      <c r="D14" s="14" t="n"/>
      <c r="E14" s="115">
        <f>+C14*(D14)</f>
        <v/>
      </c>
      <c r="F14" s="14" t="n"/>
      <c r="G14" s="115">
        <f>+C14*(F14)</f>
        <v/>
      </c>
      <c r="H14" s="14" t="n"/>
      <c r="I14" s="115">
        <f>+E14*(H14)</f>
        <v/>
      </c>
      <c r="J14" s="14" t="n"/>
      <c r="K14" s="115">
        <f>+G14*(J14)</f>
        <v/>
      </c>
      <c r="L14" s="14" t="n"/>
      <c r="M14" s="115">
        <f>+I14*(L14)</f>
        <v/>
      </c>
      <c r="N14" s="14" t="n"/>
      <c r="O14" s="115">
        <f>+K14*(N14)</f>
        <v/>
      </c>
      <c r="R14" s="14">
        <f>D14+F14+H14+J14+L14+N14</f>
        <v/>
      </c>
      <c r="S14" s="115">
        <f>E14+G14+I14+K14+M14+O14</f>
        <v/>
      </c>
      <c r="U14" s="116">
        <f>C14-S14</f>
        <v/>
      </c>
    </row>
    <row r="15">
      <c r="A15" s="11">
        <f>'Rain Fee'!A19</f>
        <v/>
      </c>
      <c r="B15" s="12">
        <f>'Rain Fee'!B19</f>
        <v/>
      </c>
      <c r="C15" s="114">
        <f>'Rain Fee'!X19</f>
        <v/>
      </c>
      <c r="D15" s="14" t="n"/>
      <c r="E15" s="115">
        <f>+C15*(D15)</f>
        <v/>
      </c>
      <c r="F15" s="14" t="n"/>
      <c r="G15" s="115">
        <f>+C15*(F15)</f>
        <v/>
      </c>
      <c r="H15" s="14" t="n"/>
      <c r="I15" s="115">
        <f>+E15*(H15)</f>
        <v/>
      </c>
      <c r="J15" s="14" t="n"/>
      <c r="K15" s="115">
        <f>+G15*(J15)</f>
        <v/>
      </c>
      <c r="L15" s="14" t="n"/>
      <c r="M15" s="115">
        <f>+I15*(L15)</f>
        <v/>
      </c>
      <c r="N15" s="14" t="n"/>
      <c r="O15" s="115">
        <f>+K15*(N15)</f>
        <v/>
      </c>
      <c r="R15" s="14">
        <f>D15+F15+H15+J15+L15+N15</f>
        <v/>
      </c>
      <c r="S15" s="115">
        <f>E15+G15+I15+K15+M15+O15</f>
        <v/>
      </c>
      <c r="U15" s="116">
        <f>C15-S15</f>
        <v/>
      </c>
    </row>
    <row r="16">
      <c r="A16" s="11">
        <f>'Rain Fee'!A20</f>
        <v/>
      </c>
      <c r="B16" s="12">
        <f>'Rain Fee'!B20</f>
        <v/>
      </c>
      <c r="C16" s="114">
        <f>'Rain Fee'!X20</f>
        <v/>
      </c>
      <c r="D16" s="14" t="n"/>
      <c r="E16" s="115">
        <f>+C16*(D16)</f>
        <v/>
      </c>
      <c r="F16" s="14" t="n"/>
      <c r="G16" s="115">
        <f>+C16*(F16)</f>
        <v/>
      </c>
      <c r="H16" s="14" t="n"/>
      <c r="I16" s="115">
        <f>+E16*(H16)</f>
        <v/>
      </c>
      <c r="J16" s="14" t="n"/>
      <c r="K16" s="115">
        <f>+G16*(J16)</f>
        <v/>
      </c>
      <c r="L16" s="14" t="n"/>
      <c r="M16" s="115">
        <f>+I16*(L16)</f>
        <v/>
      </c>
      <c r="N16" s="14" t="n"/>
      <c r="O16" s="115">
        <f>+K16*(N16)</f>
        <v/>
      </c>
      <c r="R16" s="14">
        <f>D16+F16+H16+J16+L16+N16</f>
        <v/>
      </c>
      <c r="S16" s="115">
        <f>E16+G16+I16+K16+M16+O16</f>
        <v/>
      </c>
      <c r="U16" s="116">
        <f>C16-S16</f>
        <v/>
      </c>
    </row>
    <row r="17">
      <c r="A17" s="11">
        <f>'Rain Fee'!A21</f>
        <v/>
      </c>
      <c r="B17" s="12">
        <f>'Rain Fee'!B21</f>
        <v/>
      </c>
      <c r="C17" s="114">
        <f>'Rain Fee'!X21</f>
        <v/>
      </c>
      <c r="D17" s="14" t="n"/>
      <c r="E17" s="115">
        <f>+C17*(D17)</f>
        <v/>
      </c>
      <c r="F17" s="14" t="n"/>
      <c r="G17" s="115">
        <f>+C17*(F17)</f>
        <v/>
      </c>
      <c r="H17" s="14" t="n"/>
      <c r="I17" s="115">
        <f>+E17*(H17)</f>
        <v/>
      </c>
      <c r="J17" s="14" t="n"/>
      <c r="K17" s="115">
        <f>+G17*(J17)</f>
        <v/>
      </c>
      <c r="L17" s="14" t="n"/>
      <c r="M17" s="115">
        <f>+I17*(L17)</f>
        <v/>
      </c>
      <c r="N17" s="14" t="n"/>
      <c r="O17" s="115">
        <f>+K17*(N17)</f>
        <v/>
      </c>
      <c r="R17" s="14">
        <f>D17+F17+H17+J17+L17+N17</f>
        <v/>
      </c>
      <c r="S17" s="115">
        <f>E17+G17+I17+K17+M17+O17</f>
        <v/>
      </c>
      <c r="U17" s="116">
        <f>C17-S17</f>
        <v/>
      </c>
    </row>
    <row r="18" ht="14.5" customFormat="1" customHeight="1" s="21" thickBot="1">
      <c r="A18" s="16" t="n"/>
      <c r="B18" s="17" t="inlineStr">
        <is>
          <t>Total (Exc. GST)</t>
        </is>
      </c>
      <c r="C18" s="117">
        <f>'Rain Fee'!X23</f>
        <v/>
      </c>
      <c r="D18" s="19" t="inlineStr">
        <is>
          <t>Invoice total</t>
        </is>
      </c>
      <c r="E18" s="118">
        <f>SUM(E8:E17)</f>
        <v/>
      </c>
      <c r="F18" s="19" t="inlineStr">
        <is>
          <t>Invoice total</t>
        </is>
      </c>
      <c r="G18" s="118">
        <f>SUM(G8:G17)</f>
        <v/>
      </c>
      <c r="H18" s="19" t="inlineStr">
        <is>
          <t>Invoice total</t>
        </is>
      </c>
      <c r="I18" s="118">
        <f>SUM(I8:I17)</f>
        <v/>
      </c>
      <c r="J18" s="19" t="inlineStr">
        <is>
          <t>Invoice total</t>
        </is>
      </c>
      <c r="K18" s="118">
        <f>SUM(K8:K17)</f>
        <v/>
      </c>
      <c r="L18" s="19" t="inlineStr">
        <is>
          <t>Invoice total</t>
        </is>
      </c>
      <c r="M18" s="118">
        <f>SUM(M8:M17)</f>
        <v/>
      </c>
      <c r="N18" s="19" t="inlineStr">
        <is>
          <t>Invoice total</t>
        </is>
      </c>
      <c r="O18" s="118">
        <f>SUM(O8:O17)</f>
        <v/>
      </c>
      <c r="R18" s="19" t="inlineStr">
        <is>
          <t>Invoice total</t>
        </is>
      </c>
      <c r="S18" s="118">
        <f>SUM(S8:S17)</f>
        <v/>
      </c>
    </row>
    <row r="22" ht="20.5" customHeight="1" thickBot="1">
      <c r="B22" s="1" t="inlineStr">
        <is>
          <t>Variation 1</t>
        </is>
      </c>
    </row>
    <row r="23" ht="14.25" customFormat="1" customHeight="1" s="21">
      <c r="A23" s="62" t="inlineStr">
        <is>
          <t>Task</t>
        </is>
      </c>
      <c r="B23" s="93" t="n"/>
      <c r="C23" s="110" t="inlineStr">
        <is>
          <t>Sub Totals</t>
        </is>
      </c>
      <c r="D23" s="62" t="inlineStr">
        <is>
          <t>&lt;Insert Month&gt;</t>
        </is>
      </c>
      <c r="E23" s="93" t="n"/>
      <c r="F23" s="62" t="inlineStr">
        <is>
          <t>&lt;Insert Month&gt;</t>
        </is>
      </c>
      <c r="G23" s="93" t="n"/>
      <c r="H23" s="62" t="inlineStr">
        <is>
          <t>&lt;Insert Month&gt;</t>
        </is>
      </c>
      <c r="I23" s="93" t="n"/>
      <c r="J23" s="62" t="inlineStr">
        <is>
          <t>&lt;Insert Month&gt;</t>
        </is>
      </c>
      <c r="K23" s="93" t="n"/>
      <c r="L23" s="62" t="inlineStr">
        <is>
          <t>&lt;Insert Month&gt;</t>
        </is>
      </c>
      <c r="M23" s="93" t="n"/>
      <c r="N23" s="62" t="inlineStr">
        <is>
          <t>&lt;Insert Month&gt;</t>
        </is>
      </c>
      <c r="O23" s="93" t="n"/>
      <c r="R23" s="62" t="inlineStr">
        <is>
          <t>Invoiced to date</t>
        </is>
      </c>
      <c r="S23" s="93" t="n"/>
    </row>
    <row r="24" ht="14.25" customFormat="1" customHeight="1" s="21">
      <c r="A24" s="97" t="n"/>
      <c r="B24" s="98" t="n"/>
      <c r="C24" s="111" t="n"/>
      <c r="D24" s="97" t="n"/>
      <c r="E24" s="98" t="n"/>
      <c r="F24" s="97" t="n"/>
      <c r="G24" s="98" t="n"/>
      <c r="H24" s="97" t="n"/>
      <c r="I24" s="98" t="n"/>
      <c r="J24" s="97" t="n"/>
      <c r="K24" s="98" t="n"/>
      <c r="L24" s="97" t="n"/>
      <c r="M24" s="98" t="n"/>
      <c r="N24" s="97" t="n"/>
      <c r="O24" s="98" t="n"/>
      <c r="R24" s="97" t="n"/>
      <c r="S24" s="98" t="n"/>
    </row>
    <row r="25" ht="14.25" customFormat="1" customHeight="1" s="21" thickBot="1">
      <c r="A25" s="101" t="n"/>
      <c r="B25" s="102" t="n"/>
      <c r="C25" s="112" t="n"/>
      <c r="D25" s="101" t="n"/>
      <c r="E25" s="102" t="n"/>
      <c r="F25" s="101" t="n"/>
      <c r="G25" s="102" t="n"/>
      <c r="H25" s="101" t="n"/>
      <c r="I25" s="102" t="n"/>
      <c r="J25" s="101" t="n"/>
      <c r="K25" s="102" t="n"/>
      <c r="L25" s="101" t="n"/>
      <c r="M25" s="102" t="n"/>
      <c r="N25" s="101" t="n"/>
      <c r="O25" s="102" t="n"/>
      <c r="R25" s="101" t="n"/>
      <c r="S25" s="102" t="n"/>
    </row>
    <row r="26" customFormat="1" s="21">
      <c r="A26" s="22" t="inlineStr">
        <is>
          <t>Item</t>
        </is>
      </c>
      <c r="B26" s="23" t="inlineStr">
        <is>
          <t>Description</t>
        </is>
      </c>
      <c r="C26" s="7" t="inlineStr">
        <is>
          <t>Exc. GST</t>
        </is>
      </c>
      <c r="D26" s="8" t="inlineStr">
        <is>
          <t>% complete</t>
        </is>
      </c>
      <c r="E26" s="113" t="inlineStr">
        <is>
          <t>Invoice total</t>
        </is>
      </c>
      <c r="F26" s="8" t="inlineStr">
        <is>
          <t>% complete</t>
        </is>
      </c>
      <c r="G26" s="113" t="inlineStr">
        <is>
          <t>Invoice total</t>
        </is>
      </c>
      <c r="H26" s="8" t="inlineStr">
        <is>
          <t>% complete</t>
        </is>
      </c>
      <c r="I26" s="113" t="inlineStr">
        <is>
          <t>Invoice total</t>
        </is>
      </c>
      <c r="J26" s="8" t="inlineStr">
        <is>
          <t>% complete</t>
        </is>
      </c>
      <c r="K26" s="113" t="inlineStr">
        <is>
          <t>Invoice total</t>
        </is>
      </c>
      <c r="L26" s="8" t="inlineStr">
        <is>
          <t>% complete</t>
        </is>
      </c>
      <c r="M26" s="113" t="inlineStr">
        <is>
          <t>Invoice total</t>
        </is>
      </c>
      <c r="N26" s="8" t="inlineStr">
        <is>
          <t>% complete</t>
        </is>
      </c>
      <c r="O26" s="113" t="inlineStr">
        <is>
          <t>Invoice total</t>
        </is>
      </c>
      <c r="R26" s="8" t="inlineStr">
        <is>
          <t>% complete</t>
        </is>
      </c>
      <c r="S26" s="10" t="inlineStr">
        <is>
          <t>Invoice total</t>
        </is>
      </c>
    </row>
    <row r="27">
      <c r="A27" s="11">
        <f>'Rain Fee'!A35</f>
        <v/>
      </c>
      <c r="B27" s="12">
        <f>'Rain Fee'!B35</f>
        <v/>
      </c>
      <c r="C27" s="106">
        <f>'Rain Fee'!X35</f>
        <v/>
      </c>
      <c r="D27" s="25" t="n"/>
      <c r="E27" s="115">
        <f>+C27*(D27)</f>
        <v/>
      </c>
      <c r="F27" s="25" t="n"/>
      <c r="G27" s="115">
        <f>+E27*(F27)</f>
        <v/>
      </c>
      <c r="H27" s="25" t="n"/>
      <c r="I27" s="115">
        <f>+G27*(H27)</f>
        <v/>
      </c>
      <c r="J27" s="25" t="n"/>
      <c r="K27" s="115">
        <f>+I27*(J27)</f>
        <v/>
      </c>
      <c r="L27" s="25" t="n"/>
      <c r="M27" s="115">
        <f>+K27*(L27)</f>
        <v/>
      </c>
      <c r="N27" s="25" t="n"/>
      <c r="O27" s="115">
        <f>+M27*(N27)</f>
        <v/>
      </c>
      <c r="R27" s="14">
        <f>D27+F27+H27+J27+L27+N27</f>
        <v/>
      </c>
      <c r="S27" s="115">
        <f>E27+G27+I27+K27+M27+O27</f>
        <v/>
      </c>
    </row>
    <row r="28">
      <c r="A28" s="11">
        <f>'Rain Fee'!A36</f>
        <v/>
      </c>
      <c r="B28" s="12">
        <f>'Rain Fee'!B36</f>
        <v/>
      </c>
      <c r="C28" s="106">
        <f>'Rain Fee'!X36</f>
        <v/>
      </c>
      <c r="D28" s="26" t="n"/>
      <c r="E28" s="115">
        <f>+C28*(D28)</f>
        <v/>
      </c>
      <c r="F28" s="26" t="n"/>
      <c r="G28" s="115">
        <f>+E28*(F28)</f>
        <v/>
      </c>
      <c r="H28" s="26" t="n"/>
      <c r="I28" s="115">
        <f>+G28*(H28)</f>
        <v/>
      </c>
      <c r="J28" s="26" t="n"/>
      <c r="K28" s="115">
        <f>+I28*(J28)</f>
        <v/>
      </c>
      <c r="L28" s="26" t="n"/>
      <c r="M28" s="115">
        <f>+K28*(L28)</f>
        <v/>
      </c>
      <c r="N28" s="26" t="n"/>
      <c r="O28" s="115">
        <f>+M28*(N28)</f>
        <v/>
      </c>
      <c r="R28" s="14">
        <f>D28+F28+H28+J28+L28+N28</f>
        <v/>
      </c>
      <c r="S28" s="115">
        <f>E28+G28+I28+K28+M28+O28</f>
        <v/>
      </c>
    </row>
    <row r="29">
      <c r="A29" s="11">
        <f>'Rain Fee'!A37</f>
        <v/>
      </c>
      <c r="B29" s="12">
        <f>'Rain Fee'!B37</f>
        <v/>
      </c>
      <c r="C29" s="106">
        <f>'Rain Fee'!X37</f>
        <v/>
      </c>
      <c r="D29" s="26" t="n"/>
      <c r="E29" s="115">
        <f>+C29*(D29)</f>
        <v/>
      </c>
      <c r="F29" s="26" t="n"/>
      <c r="G29" s="115">
        <f>+E29*(F29)</f>
        <v/>
      </c>
      <c r="H29" s="26" t="n"/>
      <c r="I29" s="115">
        <f>+G29*(H29)</f>
        <v/>
      </c>
      <c r="J29" s="26" t="n"/>
      <c r="K29" s="115">
        <f>+I29*(J29)</f>
        <v/>
      </c>
      <c r="L29" s="26" t="n"/>
      <c r="M29" s="115">
        <f>+K29*(L29)</f>
        <v/>
      </c>
      <c r="N29" s="26" t="n"/>
      <c r="O29" s="115">
        <f>+M29*(N29)</f>
        <v/>
      </c>
      <c r="R29" s="14">
        <f>D29+F29+H29+J29+L29+N29</f>
        <v/>
      </c>
      <c r="S29" s="115">
        <f>E29+G29+I29+K29+M29+O29</f>
        <v/>
      </c>
    </row>
    <row r="30">
      <c r="A30" s="11">
        <f>'Rain Fee'!A38</f>
        <v/>
      </c>
      <c r="B30" s="12">
        <f>'Rain Fee'!B38</f>
        <v/>
      </c>
      <c r="C30" s="106">
        <f>'Rain Fee'!X38</f>
        <v/>
      </c>
      <c r="D30" s="26" t="n"/>
      <c r="E30" s="115">
        <f>+C30*(D30)</f>
        <v/>
      </c>
      <c r="F30" s="26" t="n"/>
      <c r="G30" s="115">
        <f>+E30*(F30)</f>
        <v/>
      </c>
      <c r="H30" s="26" t="n"/>
      <c r="I30" s="115">
        <f>+G30*(H30)</f>
        <v/>
      </c>
      <c r="J30" s="26" t="n"/>
      <c r="K30" s="115">
        <f>+I30*(J30)</f>
        <v/>
      </c>
      <c r="L30" s="26" t="n"/>
      <c r="M30" s="115">
        <f>+K30*(L30)</f>
        <v/>
      </c>
      <c r="N30" s="26" t="n"/>
      <c r="O30" s="115">
        <f>+M30*(N30)</f>
        <v/>
      </c>
      <c r="R30" s="14">
        <f>D30+F30+H30+J30+L30+N30</f>
        <v/>
      </c>
      <c r="S30" s="115">
        <f>E30+G30+I30+K30+M30+O30</f>
        <v/>
      </c>
    </row>
    <row r="31">
      <c r="A31" s="11">
        <f>'Rain Fee'!A39</f>
        <v/>
      </c>
      <c r="B31" s="12">
        <f>'Rain Fee'!B39</f>
        <v/>
      </c>
      <c r="C31" s="106">
        <f>'Rain Fee'!X39</f>
        <v/>
      </c>
      <c r="D31" s="26" t="n"/>
      <c r="E31" s="115">
        <f>+C31*(D31)</f>
        <v/>
      </c>
      <c r="F31" s="26" t="n"/>
      <c r="G31" s="115">
        <f>+E31*(F31)</f>
        <v/>
      </c>
      <c r="H31" s="26" t="n"/>
      <c r="I31" s="115">
        <f>+G31*(H31)</f>
        <v/>
      </c>
      <c r="J31" s="26" t="n"/>
      <c r="K31" s="115">
        <f>+I31*(J31)</f>
        <v/>
      </c>
      <c r="L31" s="26" t="n"/>
      <c r="M31" s="115">
        <f>+K31*(L31)</f>
        <v/>
      </c>
      <c r="N31" s="26" t="n"/>
      <c r="O31" s="115">
        <f>+M31*(N31)</f>
        <v/>
      </c>
      <c r="R31" s="14">
        <f>D31+F31+H31+J31+L31+N31</f>
        <v/>
      </c>
      <c r="S31" s="115">
        <f>E31+G31+I31+K31+M31+O31</f>
        <v/>
      </c>
    </row>
    <row r="32" ht="14.5" customFormat="1" customHeight="1" s="21" thickBot="1">
      <c r="A32" s="16" t="n"/>
      <c r="B32" s="17" t="inlineStr">
        <is>
          <t>Total (Exc. GST)</t>
        </is>
      </c>
      <c r="C32" s="117">
        <f>'Rain Fee'!X41</f>
        <v/>
      </c>
      <c r="D32" s="19" t="inlineStr">
        <is>
          <t>Invoice total</t>
        </is>
      </c>
      <c r="E32" s="118">
        <f>SUM(E27:E31)</f>
        <v/>
      </c>
      <c r="F32" s="19" t="inlineStr">
        <is>
          <t>Invoice total</t>
        </is>
      </c>
      <c r="G32" s="118">
        <f>SUM(G27:G31)</f>
        <v/>
      </c>
      <c r="H32" s="19" t="inlineStr">
        <is>
          <t>Invoice total</t>
        </is>
      </c>
      <c r="I32" s="118">
        <f>SUM(I27:I31)</f>
        <v/>
      </c>
      <c r="J32" s="19" t="inlineStr">
        <is>
          <t>Invoice total</t>
        </is>
      </c>
      <c r="K32" s="118">
        <f>SUM(K27:K31)</f>
        <v/>
      </c>
      <c r="L32" s="19" t="inlineStr">
        <is>
          <t>Invoice total</t>
        </is>
      </c>
      <c r="M32" s="118">
        <f>SUM(M27:M31)</f>
        <v/>
      </c>
      <c r="N32" s="19" t="inlineStr">
        <is>
          <t>Invoice total</t>
        </is>
      </c>
      <c r="O32" s="118">
        <f>SUM(O27:O31)</f>
        <v/>
      </c>
      <c r="R32" s="19" t="inlineStr">
        <is>
          <t>Invoice total</t>
        </is>
      </c>
      <c r="S32" s="118">
        <f>SUM(S27:S31)</f>
        <v/>
      </c>
    </row>
  </sheetData>
  <mergeCells count="18">
    <mergeCell ref="R4:S6"/>
    <mergeCell ref="F4:G6"/>
    <mergeCell ref="C4:C6"/>
    <mergeCell ref="H23:I25"/>
    <mergeCell ref="L23:M25"/>
    <mergeCell ref="J23:K25"/>
    <mergeCell ref="A23:B25"/>
    <mergeCell ref="N23:O25"/>
    <mergeCell ref="R23:S25"/>
    <mergeCell ref="F23:G25"/>
    <mergeCell ref="D23:E25"/>
    <mergeCell ref="A4:B6"/>
    <mergeCell ref="C23:C25"/>
    <mergeCell ref="D4:E6"/>
    <mergeCell ref="J4:K6"/>
    <mergeCell ref="H4:I6"/>
    <mergeCell ref="N4:O6"/>
    <mergeCell ref="L4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C3" sqref="C3"/>
    </sheetView>
  </sheetViews>
  <sheetFormatPr baseColWidth="8" defaultColWidth="9.1796875" defaultRowHeight="14"/>
  <cols>
    <col width="5.7265625" bestFit="1" customWidth="1" style="2" min="1" max="1"/>
    <col width="29.453125" bestFit="1" customWidth="1" style="2" min="2" max="2"/>
    <col width="14.1796875" customWidth="1" style="109" min="3" max="3"/>
    <col width="16.1796875" bestFit="1" customWidth="1" style="2" min="4" max="4"/>
    <col width="12.7265625" customWidth="1" style="2" min="5" max="5"/>
    <col width="13.54296875" customWidth="1" style="2" min="6" max="6"/>
    <col width="9.1796875" customWidth="1" style="2" min="7" max="16384"/>
  </cols>
  <sheetData>
    <row r="1" ht="20" customHeight="1">
      <c r="B1" s="1" t="inlineStr">
        <is>
          <t>Consultant:</t>
        </is>
      </c>
      <c r="C1" s="119" t="inlineStr">
        <is>
          <t xml:space="preserve"> </t>
        </is>
      </c>
      <c r="D1" s="1" t="n"/>
    </row>
    <row r="3">
      <c r="A3" s="120" t="inlineStr">
        <is>
          <t>Tasks</t>
        </is>
      </c>
      <c r="B3" s="121" t="n"/>
      <c r="C3" s="122" t="inlineStr">
        <is>
          <t>Fee</t>
        </is>
      </c>
      <c r="D3" s="48" t="inlineStr">
        <is>
          <t>Invoice #</t>
        </is>
      </c>
      <c r="E3" s="48" t="inlineStr">
        <is>
          <t>Invoice #</t>
        </is>
      </c>
      <c r="F3" s="48" t="inlineStr">
        <is>
          <t>Invoice #</t>
        </is>
      </c>
    </row>
    <row r="4">
      <c r="A4" s="22" t="inlineStr">
        <is>
          <t>Item</t>
        </is>
      </c>
      <c r="B4" s="49" t="inlineStr">
        <is>
          <t>Description</t>
        </is>
      </c>
      <c r="C4" s="123" t="inlineStr">
        <is>
          <t xml:space="preserve"> </t>
        </is>
      </c>
      <c r="D4" s="51" t="inlineStr">
        <is>
          <t xml:space="preserve"> </t>
        </is>
      </c>
      <c r="E4" s="51" t="inlineStr">
        <is>
          <t xml:space="preserve"> </t>
        </is>
      </c>
      <c r="F4" s="51" t="inlineStr">
        <is>
          <t xml:space="preserve"> </t>
        </is>
      </c>
    </row>
    <row r="5">
      <c r="A5" s="52" t="n">
        <v>1</v>
      </c>
      <c r="B5" s="53" t="n"/>
      <c r="C5" s="124" t="n"/>
      <c r="D5" s="125" t="n"/>
      <c r="E5" s="125" t="n"/>
      <c r="F5" s="125" t="n"/>
    </row>
    <row r="6">
      <c r="A6" s="52" t="n">
        <v>2</v>
      </c>
      <c r="B6" s="53" t="n"/>
      <c r="C6" s="124" t="n"/>
      <c r="D6" s="125" t="n"/>
      <c r="E6" s="125" t="n"/>
      <c r="F6" s="125" t="n"/>
    </row>
    <row r="7">
      <c r="A7" s="52" t="n">
        <v>3</v>
      </c>
      <c r="B7" s="53" t="n"/>
      <c r="C7" s="124" t="n"/>
      <c r="D7" s="125" t="n"/>
      <c r="E7" s="125" t="n"/>
      <c r="F7" s="125" t="n"/>
    </row>
    <row r="8">
      <c r="A8" s="52" t="n">
        <v>4</v>
      </c>
      <c r="B8" s="53" t="n"/>
      <c r="C8" s="124" t="n"/>
      <c r="D8" s="125" t="n"/>
      <c r="E8" s="125" t="n"/>
      <c r="F8" s="125" t="n"/>
    </row>
    <row r="9">
      <c r="A9" s="16" t="n"/>
      <c r="B9" s="56" t="inlineStr">
        <is>
          <t>Total</t>
        </is>
      </c>
      <c r="C9" s="126">
        <f>SUM(C4:C8)</f>
        <v/>
      </c>
      <c r="D9" s="126">
        <f>SUM(D4:D8)</f>
        <v/>
      </c>
      <c r="E9" s="126">
        <f>SUM(E4:E8)</f>
        <v/>
      </c>
      <c r="F9" s="126">
        <f>SUM(F4:F8)</f>
        <v/>
      </c>
    </row>
  </sheetData>
  <mergeCells count="1">
    <mergeCell ref="A3:B3"/>
  </mergeCells>
  <conditionalFormatting sqref="D5:F8">
    <cfRule type="cellIs" priority="1" operator="equal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2024-05-14T12:02:16Z</dcterms:created>
  <dcterms:modified xmlns:dcterms="http://purl.org/dc/terms/" xmlns:xsi="http://www.w3.org/2001/XMLSchema-instance" xsi:type="dcterms:W3CDTF">2026-07-01T07:33:30Z</dcterms:modified>
</cp:coreProperties>
</file>