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71" documentId="13_ncr:1_{AB8A3352-3294-46E3-87E9-9DD60BCBD35D}" xr6:coauthVersionLast="47" xr6:coauthVersionMax="47" xr10:uidLastSave="{D27B5987-A6F4-4ADC-BF6C-074B5B0407B6}"/>
  <bookViews>
    <workbookView xWindow="20" yWindow="340" windowWidth="23040" windowHeight="11180" xr2:uid="{D2B8900A-F4E9-43DF-9DAC-A7426980D710}"/>
  </bookViews>
  <sheets>
    <sheet name="Rain Fee" sheetId="1" r:id="rId1"/>
    <sheet name="Invoicing" sheetId="2" r:id="rId2"/>
    <sheet name="Sub-Consulta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2" l="1"/>
  <c r="S28" i="2"/>
  <c r="R29" i="2"/>
  <c r="S29" i="2"/>
  <c r="R30" i="2"/>
  <c r="S30" i="2"/>
  <c r="R31" i="2"/>
  <c r="S31" i="2"/>
  <c r="S27" i="2"/>
  <c r="R27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6" i="2"/>
  <c r="S16" i="2"/>
  <c r="R17" i="2"/>
  <c r="S17" i="2"/>
  <c r="U8" i="2"/>
  <c r="S8" i="2"/>
  <c r="R8" i="2"/>
  <c r="G22" i="1"/>
  <c r="H15" i="1"/>
  <c r="H12" i="1"/>
  <c r="H22" i="1" s="1"/>
  <c r="G40" i="1"/>
  <c r="H39" i="1"/>
  <c r="H38" i="1"/>
  <c r="H37" i="1"/>
  <c r="H36" i="1"/>
  <c r="H35" i="1"/>
  <c r="H21" i="1"/>
  <c r="H20" i="1"/>
  <c r="H19" i="1"/>
  <c r="H18" i="1"/>
  <c r="H17" i="1"/>
  <c r="H16" i="1"/>
  <c r="H14" i="1"/>
  <c r="H13" i="1"/>
  <c r="D16" i="1"/>
  <c r="D12" i="1"/>
  <c r="C22" i="1"/>
  <c r="U40" i="1"/>
  <c r="S40" i="1"/>
  <c r="Q40" i="1"/>
  <c r="O40" i="1"/>
  <c r="M40" i="1"/>
  <c r="K40" i="1"/>
  <c r="I40" i="1"/>
  <c r="E40" i="1"/>
  <c r="C40" i="1"/>
  <c r="U22" i="1"/>
  <c r="S22" i="1"/>
  <c r="Q22" i="1"/>
  <c r="O22" i="1"/>
  <c r="M22" i="1"/>
  <c r="K22" i="1"/>
  <c r="I22" i="1"/>
  <c r="E22" i="1"/>
  <c r="D13" i="1"/>
  <c r="D14" i="1"/>
  <c r="D15" i="1"/>
  <c r="D17" i="1"/>
  <c r="D18" i="1"/>
  <c r="D19" i="1"/>
  <c r="D20" i="1"/>
  <c r="D21" i="1"/>
  <c r="V39" i="1"/>
  <c r="V38" i="1"/>
  <c r="V37" i="1"/>
  <c r="V36" i="1"/>
  <c r="V35" i="1"/>
  <c r="T39" i="1"/>
  <c r="T38" i="1"/>
  <c r="T37" i="1"/>
  <c r="T36" i="1"/>
  <c r="T35" i="1"/>
  <c r="R39" i="1"/>
  <c r="R38" i="1"/>
  <c r="R37" i="1"/>
  <c r="R36" i="1"/>
  <c r="R35" i="1"/>
  <c r="P39" i="1"/>
  <c r="P38" i="1"/>
  <c r="P37" i="1"/>
  <c r="P36" i="1"/>
  <c r="P35" i="1"/>
  <c r="N39" i="1"/>
  <c r="N38" i="1"/>
  <c r="N37" i="1"/>
  <c r="N36" i="1"/>
  <c r="N35" i="1"/>
  <c r="L39" i="1"/>
  <c r="L38" i="1"/>
  <c r="L37" i="1"/>
  <c r="L36" i="1"/>
  <c r="L35" i="1"/>
  <c r="J39" i="1"/>
  <c r="J38" i="1"/>
  <c r="J37" i="1"/>
  <c r="J36" i="1"/>
  <c r="J35" i="1"/>
  <c r="F39" i="1"/>
  <c r="F38" i="1"/>
  <c r="F37" i="1"/>
  <c r="F36" i="1"/>
  <c r="F35" i="1"/>
  <c r="D36" i="1"/>
  <c r="D37" i="1"/>
  <c r="D38" i="1"/>
  <c r="D39" i="1"/>
  <c r="V21" i="1"/>
  <c r="V20" i="1"/>
  <c r="V19" i="1"/>
  <c r="V18" i="1"/>
  <c r="V17" i="1"/>
  <c r="V16" i="1"/>
  <c r="V15" i="1"/>
  <c r="V14" i="1"/>
  <c r="V13" i="1"/>
  <c r="V12" i="1"/>
  <c r="T21" i="1"/>
  <c r="T20" i="1"/>
  <c r="T19" i="1"/>
  <c r="T18" i="1"/>
  <c r="T17" i="1"/>
  <c r="T16" i="1"/>
  <c r="T15" i="1"/>
  <c r="T14" i="1"/>
  <c r="T13" i="1"/>
  <c r="T12" i="1"/>
  <c r="R21" i="1"/>
  <c r="R20" i="1"/>
  <c r="R19" i="1"/>
  <c r="R18" i="1"/>
  <c r="R17" i="1"/>
  <c r="R16" i="1"/>
  <c r="R15" i="1"/>
  <c r="R14" i="1"/>
  <c r="R13" i="1"/>
  <c r="R12" i="1"/>
  <c r="P21" i="1"/>
  <c r="P20" i="1"/>
  <c r="P19" i="1"/>
  <c r="P18" i="1"/>
  <c r="P17" i="1"/>
  <c r="P16" i="1"/>
  <c r="P15" i="1"/>
  <c r="P14" i="1"/>
  <c r="P13" i="1"/>
  <c r="P12" i="1"/>
  <c r="N21" i="1"/>
  <c r="N20" i="1"/>
  <c r="N19" i="1"/>
  <c r="N18" i="1"/>
  <c r="N17" i="1"/>
  <c r="N16" i="1"/>
  <c r="N15" i="1"/>
  <c r="N14" i="1"/>
  <c r="N13" i="1"/>
  <c r="N12" i="1"/>
  <c r="L21" i="1"/>
  <c r="L20" i="1"/>
  <c r="L19" i="1"/>
  <c r="L18" i="1"/>
  <c r="L17" i="1"/>
  <c r="L16" i="1"/>
  <c r="L15" i="1"/>
  <c r="L14" i="1"/>
  <c r="L13" i="1"/>
  <c r="L12" i="1"/>
  <c r="J21" i="1"/>
  <c r="J20" i="1"/>
  <c r="J19" i="1"/>
  <c r="J18" i="1"/>
  <c r="J17" i="1"/>
  <c r="J16" i="1"/>
  <c r="J15" i="1"/>
  <c r="J14" i="1"/>
  <c r="J13" i="1"/>
  <c r="J12" i="1"/>
  <c r="F21" i="1"/>
  <c r="F20" i="1"/>
  <c r="F19" i="1"/>
  <c r="F18" i="1"/>
  <c r="F17" i="1"/>
  <c r="F16" i="1"/>
  <c r="F15" i="1"/>
  <c r="F14" i="1"/>
  <c r="F13" i="1"/>
  <c r="F12" i="1"/>
  <c r="B28" i="2"/>
  <c r="B29" i="2"/>
  <c r="B30" i="2"/>
  <c r="B31" i="2"/>
  <c r="A28" i="2"/>
  <c r="A29" i="2"/>
  <c r="A30" i="2"/>
  <c r="A31" i="2"/>
  <c r="A9" i="2"/>
  <c r="A10" i="2"/>
  <c r="A11" i="2"/>
  <c r="A12" i="2"/>
  <c r="A13" i="2"/>
  <c r="A14" i="2"/>
  <c r="A15" i="2"/>
  <c r="A16" i="2"/>
  <c r="A17" i="2"/>
  <c r="A27" i="2"/>
  <c r="A8" i="2"/>
  <c r="B27" i="2"/>
  <c r="B9" i="2"/>
  <c r="B10" i="2"/>
  <c r="B11" i="2"/>
  <c r="B12" i="2"/>
  <c r="B13" i="2"/>
  <c r="B14" i="2"/>
  <c r="B15" i="2"/>
  <c r="B16" i="2"/>
  <c r="B17" i="2"/>
  <c r="B8" i="2"/>
  <c r="W40" i="1"/>
  <c r="D35" i="1"/>
  <c r="F9" i="3"/>
  <c r="E9" i="3"/>
  <c r="D9" i="3"/>
  <c r="C9" i="3"/>
  <c r="X17" i="1" l="1"/>
  <c r="X18" i="1"/>
  <c r="X19" i="1"/>
  <c r="X20" i="1"/>
  <c r="X21" i="1"/>
  <c r="C17" i="2" s="1"/>
  <c r="X15" i="1"/>
  <c r="X14" i="1"/>
  <c r="X13" i="1"/>
  <c r="X12" i="1"/>
  <c r="X16" i="1"/>
  <c r="H40" i="1"/>
  <c r="D22" i="1"/>
  <c r="X35" i="1"/>
  <c r="X36" i="1"/>
  <c r="C28" i="2" s="1"/>
  <c r="E28" i="2" s="1"/>
  <c r="X37" i="1"/>
  <c r="C29" i="2" s="1"/>
  <c r="E29" i="2" s="1"/>
  <c r="X38" i="1"/>
  <c r="C30" i="2" s="1"/>
  <c r="E30" i="2" s="1"/>
  <c r="X39" i="1"/>
  <c r="C12" i="2"/>
  <c r="C16" i="2"/>
  <c r="C15" i="2"/>
  <c r="C13" i="2"/>
  <c r="C14" i="2"/>
  <c r="C31" i="2"/>
  <c r="E31" i="2" s="1"/>
  <c r="R22" i="1"/>
  <c r="D40" i="1"/>
  <c r="L40" i="1"/>
  <c r="P40" i="1"/>
  <c r="F40" i="1"/>
  <c r="N22" i="1"/>
  <c r="V22" i="1"/>
  <c r="J40" i="1"/>
  <c r="V40" i="1"/>
  <c r="J22" i="1"/>
  <c r="F22" i="1"/>
  <c r="L22" i="1"/>
  <c r="P22" i="1"/>
  <c r="T22" i="1"/>
  <c r="N40" i="1"/>
  <c r="R40" i="1"/>
  <c r="T40" i="1"/>
  <c r="G30" i="2" l="1"/>
  <c r="G31" i="2"/>
  <c r="G28" i="2"/>
  <c r="G29" i="2"/>
  <c r="I29" i="2" s="1"/>
  <c r="K29" i="2" s="1"/>
  <c r="M29" i="2" s="1"/>
  <c r="O29" i="2" s="1"/>
  <c r="E12" i="2"/>
  <c r="I12" i="2" s="1"/>
  <c r="M12" i="2" s="1"/>
  <c r="E14" i="2"/>
  <c r="I14" i="2" s="1"/>
  <c r="M14" i="2" s="1"/>
  <c r="G16" i="2"/>
  <c r="K16" i="2" s="1"/>
  <c r="O16" i="2" s="1"/>
  <c r="E17" i="2"/>
  <c r="I17" i="2" s="1"/>
  <c r="M17" i="2" s="1"/>
  <c r="E13" i="2"/>
  <c r="I13" i="2" s="1"/>
  <c r="M13" i="2" s="1"/>
  <c r="E15" i="2"/>
  <c r="I15" i="2" s="1"/>
  <c r="M15" i="2" s="1"/>
  <c r="X41" i="1"/>
  <c r="X23" i="1"/>
  <c r="G15" i="2"/>
  <c r="K15" i="2" s="1"/>
  <c r="O15" i="2" s="1"/>
  <c r="G14" i="2"/>
  <c r="K14" i="2" s="1"/>
  <c r="O14" i="2" s="1"/>
  <c r="C32" i="2"/>
  <c r="G12" i="2"/>
  <c r="K12" i="2" s="1"/>
  <c r="O12" i="2" s="1"/>
  <c r="E16" i="2"/>
  <c r="I16" i="2" s="1"/>
  <c r="M16" i="2" s="1"/>
  <c r="G13" i="2"/>
  <c r="K13" i="2" s="1"/>
  <c r="O13" i="2" s="1"/>
  <c r="G17" i="2"/>
  <c r="K17" i="2" s="1"/>
  <c r="O17" i="2" s="1"/>
  <c r="C27" i="2"/>
  <c r="E27" i="2" s="1"/>
  <c r="C11" i="2"/>
  <c r="C10" i="2"/>
  <c r="C9" i="2"/>
  <c r="W22" i="1"/>
  <c r="U14" i="2" l="1"/>
  <c r="I28" i="2"/>
  <c r="K28" i="2" s="1"/>
  <c r="M28" i="2" s="1"/>
  <c r="O28" i="2" s="1"/>
  <c r="I31" i="2"/>
  <c r="K31" i="2" s="1"/>
  <c r="M31" i="2" s="1"/>
  <c r="O31" i="2" s="1"/>
  <c r="I30" i="2"/>
  <c r="K30" i="2" s="1"/>
  <c r="M30" i="2" s="1"/>
  <c r="O30" i="2" s="1"/>
  <c r="E32" i="2"/>
  <c r="G27" i="2"/>
  <c r="U16" i="2"/>
  <c r="U12" i="2"/>
  <c r="U15" i="2"/>
  <c r="U13" i="2"/>
  <c r="U17" i="2"/>
  <c r="E11" i="2"/>
  <c r="I11" i="2" s="1"/>
  <c r="M11" i="2" s="1"/>
  <c r="G11" i="2"/>
  <c r="K11" i="2" s="1"/>
  <c r="O11" i="2" s="1"/>
  <c r="E10" i="2"/>
  <c r="I10" i="2" s="1"/>
  <c r="M10" i="2" s="1"/>
  <c r="G10" i="2"/>
  <c r="K10" i="2" s="1"/>
  <c r="O10" i="2" s="1"/>
  <c r="E9" i="2"/>
  <c r="I9" i="2" s="1"/>
  <c r="M9" i="2" s="1"/>
  <c r="G9" i="2"/>
  <c r="K9" i="2" s="1"/>
  <c r="O9" i="2" s="1"/>
  <c r="G32" i="2" l="1"/>
  <c r="I27" i="2"/>
  <c r="S32" i="2"/>
  <c r="C8" i="2"/>
  <c r="C18" i="2"/>
  <c r="U11" i="2"/>
  <c r="U10" i="2"/>
  <c r="U9" i="2"/>
  <c r="I32" i="2" l="1"/>
  <c r="K27" i="2"/>
  <c r="G8" i="2"/>
  <c r="E8" i="2"/>
  <c r="I8" i="2" s="1"/>
  <c r="K32" i="2" l="1"/>
  <c r="M27" i="2"/>
  <c r="I18" i="2"/>
  <c r="M8" i="2"/>
  <c r="M18" i="2" s="1"/>
  <c r="G18" i="2"/>
  <c r="K8" i="2"/>
  <c r="E18" i="2"/>
  <c r="K18" i="2" l="1"/>
  <c r="O8" i="2"/>
  <c r="O18" i="2" s="1"/>
  <c r="M32" i="2"/>
  <c r="O27" i="2"/>
  <c r="O32" i="2" s="1"/>
  <c r="S18" i="2"/>
</calcChain>
</file>

<file path=xl/sharedStrings.xml><?xml version="1.0" encoding="utf-8"?>
<sst xmlns="http://schemas.openxmlformats.org/spreadsheetml/2006/main" count="196" uniqueCount="51">
  <si>
    <t>Project:</t>
  </si>
  <si>
    <t>&lt;insert prject name&gt;</t>
  </si>
  <si>
    <t>Project Number:</t>
  </si>
  <si>
    <t>Purchase Order (main works):</t>
  </si>
  <si>
    <t>&lt;insert PO number&gt;</t>
  </si>
  <si>
    <t>Purchase Order (variation 1):</t>
  </si>
  <si>
    <t>Payment Terms:</t>
  </si>
  <si>
    <t>&lt;insert number of days&gt;</t>
  </si>
  <si>
    <t>Task</t>
  </si>
  <si>
    <t>Expenses</t>
  </si>
  <si>
    <t>Sub Totals</t>
  </si>
  <si>
    <t>Rianda Mills</t>
  </si>
  <si>
    <t>Luke Cunningham</t>
  </si>
  <si>
    <t>Jessica Ward</t>
  </si>
  <si>
    <t>Maria McCrann</t>
  </si>
  <si>
    <t>Amin Zarrin</t>
  </si>
  <si>
    <t>Samantha Nieves</t>
  </si>
  <si>
    <t>Emily Felstead</t>
  </si>
  <si>
    <t>Holly Edmunds</t>
  </si>
  <si>
    <t>Danni Bailey</t>
  </si>
  <si>
    <t>Director &amp; Principal Engineer</t>
  </si>
  <si>
    <t>Hydrologist and Technician</t>
  </si>
  <si>
    <t>Senior Engineer</t>
  </si>
  <si>
    <t>Project Engineer</t>
  </si>
  <si>
    <t>Graduate Scientist</t>
  </si>
  <si>
    <t>Graduate Engineer</t>
  </si>
  <si>
    <t>Executive Assistant</t>
  </si>
  <si>
    <t>Operations Coordinator</t>
  </si>
  <si>
    <t>Item</t>
  </si>
  <si>
    <t>Description</t>
  </si>
  <si>
    <t>Hours</t>
  </si>
  <si>
    <t>Fee (Exc. GST)</t>
  </si>
  <si>
    <t>Exc. GST</t>
  </si>
  <si>
    <t>INSERT TASK HERE</t>
  </si>
  <si>
    <t>Sub Total</t>
  </si>
  <si>
    <t>Total (Exc. GST)</t>
  </si>
  <si>
    <t>Variation 1</t>
  </si>
  <si>
    <t>Rain Invoice Tracker</t>
  </si>
  <si>
    <t>&lt;insert month&gt;</t>
  </si>
  <si>
    <t>Invoiced to date</t>
  </si>
  <si>
    <t>% complete</t>
  </si>
  <si>
    <t>Invoice total</t>
  </si>
  <si>
    <t>Remaining Fee</t>
  </si>
  <si>
    <t>&lt;Insert Month&gt;</t>
  </si>
  <si>
    <t>Consultant:</t>
  </si>
  <si>
    <t xml:space="preserve"> </t>
  </si>
  <si>
    <t>Tasks</t>
  </si>
  <si>
    <t>Fee</t>
  </si>
  <si>
    <t>Invoice #</t>
  </si>
  <si>
    <t>Total</t>
  </si>
  <si>
    <t>Milan Wickramarachchi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</si>
</sst>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rgb="FFC87818"/>
      <name val="Arial"/>
      <family val="2"/>
    </font>
    <font>
      <sz val="11"/>
      <color rgb="FF587095"/>
      <name val="Arial"/>
      <family val="2"/>
    </font>
    <font>
      <sz val="11"/>
      <color rgb="FFC87818"/>
      <name val="Arial"/>
      <family val="2"/>
    </font>
    <font>
      <b/>
      <sz val="18"/>
      <color theme="1"/>
      <name val="Arial"/>
      <family val="2"/>
    </font>
    <font>
      <b/>
      <sz val="18"/>
      <color rgb="FFC87818"/>
      <name val="Arial"/>
      <family val="2"/>
    </font>
    <font>
      <b/>
      <sz val="12"/>
      <color theme="1"/>
      <name val="Arial"/>
      <family val="2"/>
    </font>
    <font>
      <b/>
      <sz val="11"/>
      <color rgb="FFE35205"/>
      <name val="Arial"/>
      <family val="2"/>
    </font>
    <font>
      <sz val="11"/>
      <color rgb="FF009CA6"/>
      <name val="Arial"/>
      <family val="2"/>
    </font>
    <font>
      <sz val="11"/>
      <color rgb="FFE35205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2" applyFont="1"/>
    <xf numFmtId="44" fontId="3" fillId="0" borderId="0" xfId="1" applyFont="1"/>
    <xf numFmtId="0" fontId="4" fillId="0" borderId="22" xfId="0" applyFont="1" applyBorder="1"/>
    <xf numFmtId="0" fontId="4" fillId="0" borderId="6" xfId="0" applyFont="1" applyBorder="1"/>
    <xf numFmtId="0" fontId="4" fillId="0" borderId="15" xfId="0" applyFont="1" applyBorder="1" applyAlignment="1">
      <alignment horizontal="center"/>
    </xf>
    <xf numFmtId="9" fontId="4" fillId="0" borderId="22" xfId="2" applyFont="1" applyBorder="1"/>
    <xf numFmtId="44" fontId="4" fillId="0" borderId="23" xfId="1" applyFont="1" applyBorder="1"/>
    <xf numFmtId="0" fontId="4" fillId="0" borderId="23" xfId="0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164" fontId="3" fillId="0" borderId="8" xfId="1" applyNumberFormat="1" applyFont="1" applyBorder="1" applyAlignment="1">
      <alignment horizontal="center"/>
    </xf>
    <xf numFmtId="9" fontId="3" fillId="0" borderId="4" xfId="2" applyFont="1" applyBorder="1"/>
    <xf numFmtId="44" fontId="3" fillId="0" borderId="18" xfId="1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6" xfId="0" applyNumberFormat="1" applyFont="1" applyBorder="1"/>
    <xf numFmtId="9" fontId="4" fillId="0" borderId="20" xfId="2" applyFont="1" applyBorder="1"/>
    <xf numFmtId="44" fontId="4" fillId="0" borderId="21" xfId="1" applyFont="1" applyBorder="1"/>
    <xf numFmtId="0" fontId="6" fillId="0" borderId="0" xfId="0" applyFont="1"/>
    <xf numFmtId="0" fontId="4" fillId="0" borderId="4" xfId="0" applyFont="1" applyBorder="1"/>
    <xf numFmtId="0" fontId="4" fillId="0" borderId="1" xfId="0" applyFont="1" applyBorder="1"/>
    <xf numFmtId="164" fontId="3" fillId="0" borderId="1" xfId="1" applyNumberFormat="1" applyFont="1" applyBorder="1" applyAlignment="1">
      <alignment horizontal="center"/>
    </xf>
    <xf numFmtId="9" fontId="3" fillId="0" borderId="9" xfId="2" applyFont="1" applyBorder="1"/>
    <xf numFmtId="9" fontId="3" fillId="0" borderId="33" xfId="2" applyFont="1" applyBorder="1"/>
    <xf numFmtId="0" fontId="7" fillId="0" borderId="0" xfId="0" applyFont="1"/>
    <xf numFmtId="6" fontId="4" fillId="0" borderId="0" xfId="0" applyNumberFormat="1" applyFont="1" applyAlignment="1">
      <alignment horizontal="center"/>
    </xf>
    <xf numFmtId="0" fontId="9" fillId="0" borderId="0" xfId="0" applyFont="1"/>
    <xf numFmtId="6" fontId="4" fillId="0" borderId="0" xfId="0" applyNumberFormat="1" applyFont="1"/>
    <xf numFmtId="6" fontId="10" fillId="0" borderId="0" xfId="0" applyNumberFormat="1" applyFont="1"/>
    <xf numFmtId="0" fontId="6" fillId="0" borderId="1" xfId="0" applyFont="1" applyBorder="1" applyAlignment="1">
      <alignment horizontal="center"/>
    </xf>
    <xf numFmtId="6" fontId="3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6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2" xfId="0" applyFont="1" applyBorder="1"/>
    <xf numFmtId="0" fontId="10" fillId="0" borderId="13" xfId="0" applyFont="1" applyBorder="1"/>
    <xf numFmtId="0" fontId="13" fillId="0" borderId="0" xfId="0" applyFont="1"/>
    <xf numFmtId="0" fontId="10" fillId="0" borderId="0" xfId="0" applyFont="1"/>
    <xf numFmtId="0" fontId="4" fillId="0" borderId="0" xfId="0" applyFont="1"/>
    <xf numFmtId="164" fontId="10" fillId="0" borderId="0" xfId="0" applyNumberFormat="1" applyFont="1"/>
    <xf numFmtId="0" fontId="11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44" fontId="15" fillId="0" borderId="0" xfId="1" applyFont="1"/>
    <xf numFmtId="44" fontId="4" fillId="0" borderId="32" xfId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8" xfId="0" applyFont="1" applyBorder="1"/>
    <xf numFmtId="44" fontId="4" fillId="0" borderId="31" xfId="1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5" fillId="0" borderId="4" xfId="0" applyFont="1" applyBorder="1"/>
    <xf numFmtId="0" fontId="5" fillId="0" borderId="18" xfId="0" applyFont="1" applyBorder="1" applyAlignment="1">
      <alignment wrapText="1"/>
    </xf>
    <xf numFmtId="44" fontId="3" fillId="0" borderId="31" xfId="1" applyFont="1" applyBorder="1" applyAlignment="1">
      <alignment horizontal="center"/>
    </xf>
    <xf numFmtId="44" fontId="3" fillId="0" borderId="30" xfId="1" applyFont="1" applyBorder="1" applyAlignment="1">
      <alignment horizontal="center"/>
    </xf>
    <xf numFmtId="0" fontId="4" fillId="0" borderId="14" xfId="0" applyFont="1" applyBorder="1"/>
    <xf numFmtId="44" fontId="4" fillId="0" borderId="19" xfId="1" applyFont="1" applyBorder="1"/>
    <xf numFmtId="6" fontId="8" fillId="0" borderId="0" xfId="0" applyNumberFormat="1" applyFont="1"/>
    <xf numFmtId="44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4" fillId="0" borderId="14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4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26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6" fontId="4" fillId="0" borderId="3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6" fontId="4" fillId="0" borderId="10" xfId="0" applyNumberFormat="1" applyFont="1" applyBorder="1" applyAlignment="1">
      <alignment horizontal="center"/>
    </xf>
    <xf numFmtId="6" fontId="4" fillId="0" borderId="11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6" fontId="4" fillId="0" borderId="0" xfId="0" applyNumberFormat="1" applyFont="1" applyAlignment="1">
      <alignment horizontal="left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C87818"/>
      <color rgb="FF587095"/>
      <color rgb="FFE352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8C9A-E48E-486B-8762-92FD18BF3420}">
  <dimension ref="A1:X47"/>
  <sheetViews>
    <sheetView tabSelected="1" zoomScale="70" zoomScaleNormal="70" workbookViewId="0">
      <selection activeCell="F28" sqref="F28"/>
    </sheetView>
  </sheetViews>
  <sheetFormatPr defaultColWidth="29.7265625" defaultRowHeight="14" x14ac:dyDescent="0.3"/>
  <cols>
    <col min="1" max="1" width="6" style="2" bestFit="1" customWidth="1"/>
    <col min="2" max="2" width="44.453125" style="2" customWidth="1"/>
    <col min="3" max="3" width="8.26953125" style="21" customWidth="1"/>
    <col min="4" max="4" width="22" style="2" customWidth="1"/>
    <col min="5" max="5" width="8.26953125" style="21" bestFit="1" customWidth="1"/>
    <col min="6" max="6" width="22" style="2" customWidth="1"/>
    <col min="7" max="7" width="6.81640625" style="21" customWidth="1"/>
    <col min="8" max="8" width="18.26953125" style="2" customWidth="1"/>
    <col min="9" max="9" width="8.26953125" style="21" customWidth="1"/>
    <col min="10" max="10" width="18.26953125" style="2" customWidth="1"/>
    <col min="11" max="11" width="8.26953125" style="21" customWidth="1"/>
    <col min="12" max="12" width="20.7265625" style="2" customWidth="1"/>
    <col min="13" max="13" width="6.81640625" style="21" customWidth="1"/>
    <col min="14" max="14" width="18.26953125" style="2" customWidth="1"/>
    <col min="15" max="15" width="8.26953125" style="21" customWidth="1"/>
    <col min="16" max="16" width="15" style="2" customWidth="1"/>
    <col min="17" max="17" width="15" style="21" customWidth="1"/>
    <col min="18" max="18" width="15" style="2" customWidth="1"/>
    <col min="19" max="19" width="8.26953125" style="21" customWidth="1"/>
    <col min="20" max="20" width="18.26953125" style="2" customWidth="1"/>
    <col min="21" max="21" width="8.26953125" style="21" customWidth="1"/>
    <col min="22" max="22" width="18.26953125" style="2" customWidth="1"/>
    <col min="23" max="16384" width="29.7265625" style="2"/>
  </cols>
  <sheetData>
    <row r="1" spans="1:24" ht="23" x14ac:dyDescent="0.5">
      <c r="B1" s="27" t="s">
        <v>0</v>
      </c>
      <c r="C1" s="58" t="s">
        <v>1</v>
      </c>
      <c r="D1" s="58"/>
      <c r="E1" s="58"/>
    </row>
    <row r="2" spans="1:24" ht="23" x14ac:dyDescent="0.5">
      <c r="B2" s="27" t="s">
        <v>2</v>
      </c>
      <c r="C2" s="58" t="s">
        <v>1</v>
      </c>
      <c r="D2" s="58"/>
      <c r="E2" s="58"/>
    </row>
    <row r="3" spans="1:24" ht="10.5" customHeight="1" x14ac:dyDescent="0.4">
      <c r="B3" s="1"/>
      <c r="C3" s="28"/>
      <c r="D3" s="28"/>
    </row>
    <row r="4" spans="1:24" ht="20" x14ac:dyDescent="0.4">
      <c r="B4" s="29" t="s">
        <v>3</v>
      </c>
      <c r="C4" s="85" t="s">
        <v>4</v>
      </c>
      <c r="D4" s="85"/>
      <c r="F4" s="1"/>
      <c r="I4" s="30"/>
      <c r="L4" s="31"/>
    </row>
    <row r="5" spans="1:24" ht="20" x14ac:dyDescent="0.4">
      <c r="B5" s="29" t="s">
        <v>5</v>
      </c>
      <c r="C5" s="85" t="s">
        <v>4</v>
      </c>
      <c r="D5" s="85"/>
      <c r="F5" s="1"/>
      <c r="I5" s="30"/>
      <c r="L5" s="31"/>
    </row>
    <row r="6" spans="1:24" ht="15.5" x14ac:dyDescent="0.35">
      <c r="B6" s="29" t="s">
        <v>6</v>
      </c>
      <c r="C6" s="85" t="s">
        <v>7</v>
      </c>
      <c r="D6" s="85"/>
    </row>
    <row r="7" spans="1:24" ht="14.5" thickBot="1" x14ac:dyDescent="0.35"/>
    <row r="8" spans="1:24" x14ac:dyDescent="0.3">
      <c r="A8" s="62" t="s">
        <v>8</v>
      </c>
      <c r="B8" s="68"/>
      <c r="C8" s="78">
        <v>400</v>
      </c>
      <c r="D8" s="78"/>
      <c r="E8" s="78">
        <v>400</v>
      </c>
      <c r="F8" s="78"/>
      <c r="G8" s="81">
        <v>400</v>
      </c>
      <c r="H8" s="82"/>
      <c r="I8" s="78">
        <v>320</v>
      </c>
      <c r="J8" s="78"/>
      <c r="K8" s="78">
        <v>320</v>
      </c>
      <c r="L8" s="78"/>
      <c r="M8" s="81">
        <v>250</v>
      </c>
      <c r="N8" s="82"/>
      <c r="O8" s="78">
        <v>220</v>
      </c>
      <c r="P8" s="78"/>
      <c r="Q8" s="78">
        <v>180</v>
      </c>
      <c r="R8" s="78"/>
      <c r="S8" s="78">
        <v>180</v>
      </c>
      <c r="T8" s="78"/>
      <c r="U8" s="78">
        <v>200</v>
      </c>
      <c r="V8" s="78"/>
      <c r="W8" s="74" t="s">
        <v>9</v>
      </c>
      <c r="X8" s="74" t="s">
        <v>10</v>
      </c>
    </row>
    <row r="9" spans="1:24" x14ac:dyDescent="0.3">
      <c r="A9" s="64"/>
      <c r="B9" s="69"/>
      <c r="C9" s="69" t="s">
        <v>11</v>
      </c>
      <c r="D9" s="69"/>
      <c r="E9" s="69" t="s">
        <v>12</v>
      </c>
      <c r="F9" s="69"/>
      <c r="G9" s="79" t="s">
        <v>13</v>
      </c>
      <c r="H9" s="80"/>
      <c r="I9" s="69" t="s">
        <v>14</v>
      </c>
      <c r="J9" s="69"/>
      <c r="K9" s="69" t="s">
        <v>50</v>
      </c>
      <c r="L9" s="69"/>
      <c r="M9" s="79" t="s">
        <v>15</v>
      </c>
      <c r="N9" s="80"/>
      <c r="O9" s="69" t="s">
        <v>16</v>
      </c>
      <c r="P9" s="69"/>
      <c r="Q9" s="69" t="s">
        <v>17</v>
      </c>
      <c r="R9" s="69"/>
      <c r="S9" s="69" t="s">
        <v>18</v>
      </c>
      <c r="T9" s="69"/>
      <c r="U9" s="69" t="s">
        <v>19</v>
      </c>
      <c r="V9" s="69"/>
      <c r="W9" s="75"/>
      <c r="X9" s="75"/>
    </row>
    <row r="10" spans="1:24" ht="35.15" customHeight="1" x14ac:dyDescent="0.3">
      <c r="A10" s="64"/>
      <c r="B10" s="69"/>
      <c r="C10" s="77" t="s">
        <v>20</v>
      </c>
      <c r="D10" s="77"/>
      <c r="E10" s="77" t="s">
        <v>20</v>
      </c>
      <c r="F10" s="77"/>
      <c r="G10" s="83" t="s">
        <v>21</v>
      </c>
      <c r="H10" s="84"/>
      <c r="I10" s="77" t="s">
        <v>22</v>
      </c>
      <c r="J10" s="77"/>
      <c r="K10" s="77" t="s">
        <v>22</v>
      </c>
      <c r="L10" s="77"/>
      <c r="M10" s="83" t="s">
        <v>23</v>
      </c>
      <c r="N10" s="84"/>
      <c r="O10" s="77" t="s">
        <v>24</v>
      </c>
      <c r="P10" s="77"/>
      <c r="Q10" s="77" t="s">
        <v>25</v>
      </c>
      <c r="R10" s="77"/>
      <c r="S10" s="77" t="s">
        <v>26</v>
      </c>
      <c r="T10" s="77"/>
      <c r="U10" s="77" t="s">
        <v>27</v>
      </c>
      <c r="V10" s="77"/>
      <c r="W10" s="76"/>
      <c r="X10" s="76"/>
    </row>
    <row r="11" spans="1:24" x14ac:dyDescent="0.3">
      <c r="A11" s="22" t="s">
        <v>28</v>
      </c>
      <c r="B11" s="23" t="s">
        <v>29</v>
      </c>
      <c r="C11" s="60" t="s">
        <v>30</v>
      </c>
      <c r="D11" s="60" t="s">
        <v>31</v>
      </c>
      <c r="E11" s="60" t="s">
        <v>30</v>
      </c>
      <c r="F11" s="60" t="s">
        <v>31</v>
      </c>
      <c r="G11" s="60" t="s">
        <v>30</v>
      </c>
      <c r="H11" s="60" t="s">
        <v>31</v>
      </c>
      <c r="I11" s="60" t="s">
        <v>30</v>
      </c>
      <c r="J11" s="60" t="s">
        <v>31</v>
      </c>
      <c r="K11" s="60" t="s">
        <v>30</v>
      </c>
      <c r="L11" s="60" t="s">
        <v>31</v>
      </c>
      <c r="M11" s="60" t="s">
        <v>30</v>
      </c>
      <c r="N11" s="60" t="s">
        <v>31</v>
      </c>
      <c r="O11" s="60" t="s">
        <v>30</v>
      </c>
      <c r="P11" s="60" t="s">
        <v>31</v>
      </c>
      <c r="Q11" s="60" t="s">
        <v>30</v>
      </c>
      <c r="R11" s="60" t="s">
        <v>31</v>
      </c>
      <c r="S11" s="60" t="s">
        <v>30</v>
      </c>
      <c r="T11" s="60" t="s">
        <v>31</v>
      </c>
      <c r="U11" s="60" t="s">
        <v>30</v>
      </c>
      <c r="V11" s="60" t="s">
        <v>31</v>
      </c>
      <c r="W11" s="60" t="s">
        <v>31</v>
      </c>
      <c r="X11" s="60" t="s">
        <v>32</v>
      </c>
    </row>
    <row r="12" spans="1:24" x14ac:dyDescent="0.3">
      <c r="A12" s="11">
        <v>1</v>
      </c>
      <c r="B12" s="11" t="s">
        <v>33</v>
      </c>
      <c r="C12" s="32"/>
      <c r="D12" s="33">
        <f>C12*C$8</f>
        <v>0</v>
      </c>
      <c r="E12" s="32"/>
      <c r="F12" s="33">
        <f>E12*E$8</f>
        <v>0</v>
      </c>
      <c r="G12" s="32"/>
      <c r="H12" s="33">
        <f>G12*G$8</f>
        <v>0</v>
      </c>
      <c r="I12" s="32"/>
      <c r="J12" s="33">
        <f>I12*I$8</f>
        <v>0</v>
      </c>
      <c r="K12" s="32"/>
      <c r="L12" s="33">
        <f>K12*K$8</f>
        <v>0</v>
      </c>
      <c r="M12" s="32"/>
      <c r="N12" s="33">
        <f>M12*M$8</f>
        <v>0</v>
      </c>
      <c r="O12" s="32"/>
      <c r="P12" s="33">
        <f>O12*O$8</f>
        <v>0</v>
      </c>
      <c r="Q12" s="32"/>
      <c r="R12" s="33">
        <f>Q12*Q$8</f>
        <v>0</v>
      </c>
      <c r="S12" s="32"/>
      <c r="T12" s="33">
        <f>S12*S$8</f>
        <v>0</v>
      </c>
      <c r="U12" s="32"/>
      <c r="V12" s="33">
        <f>U12*U$8</f>
        <v>0</v>
      </c>
      <c r="W12" s="33"/>
      <c r="X12" s="24">
        <f>(SUM(W12+P12+F12+N12+D12+T12+L12+R12+V12+J12+H12))</f>
        <v>0</v>
      </c>
    </row>
    <row r="13" spans="1:24" x14ac:dyDescent="0.3">
      <c r="A13" s="11">
        <v>2</v>
      </c>
      <c r="B13" s="11"/>
      <c r="C13" s="32"/>
      <c r="D13" s="33">
        <f t="shared" ref="D13:D21" si="0">C13*C$8</f>
        <v>0</v>
      </c>
      <c r="E13" s="32"/>
      <c r="F13" s="33">
        <f t="shared" ref="F13:F21" si="1">E13*E$8</f>
        <v>0</v>
      </c>
      <c r="G13" s="32"/>
      <c r="H13" s="33">
        <f t="shared" ref="H13:H21" si="2">G13*G$8</f>
        <v>0</v>
      </c>
      <c r="I13" s="32"/>
      <c r="J13" s="33">
        <f t="shared" ref="J13" si="3">I13*I$8</f>
        <v>0</v>
      </c>
      <c r="K13" s="32"/>
      <c r="L13" s="33">
        <f t="shared" ref="L13" si="4">K13*K$8</f>
        <v>0</v>
      </c>
      <c r="M13" s="32"/>
      <c r="N13" s="33">
        <f t="shared" ref="N13" si="5">M13*M$8</f>
        <v>0</v>
      </c>
      <c r="O13" s="32"/>
      <c r="P13" s="33">
        <f t="shared" ref="P13" si="6">O13*O$8</f>
        <v>0</v>
      </c>
      <c r="Q13" s="32"/>
      <c r="R13" s="33">
        <f t="shared" ref="R13" si="7">Q13*Q$8</f>
        <v>0</v>
      </c>
      <c r="S13" s="32"/>
      <c r="T13" s="33">
        <f t="shared" ref="T13" si="8">S13*S$8</f>
        <v>0</v>
      </c>
      <c r="U13" s="32"/>
      <c r="V13" s="33">
        <f t="shared" ref="V13" si="9">U13*U$8</f>
        <v>0</v>
      </c>
      <c r="W13" s="33"/>
      <c r="X13" s="24">
        <f t="shared" ref="X13:X21" si="10">(SUM(W13+P13+F13+N13+D13+T13+L13+R13+V13+J13+H13))</f>
        <v>0</v>
      </c>
    </row>
    <row r="14" spans="1:24" x14ac:dyDescent="0.3">
      <c r="A14" s="11">
        <v>3</v>
      </c>
      <c r="B14" s="11"/>
      <c r="C14" s="32"/>
      <c r="D14" s="33">
        <f t="shared" si="0"/>
        <v>0</v>
      </c>
      <c r="E14" s="32"/>
      <c r="F14" s="33">
        <f t="shared" si="1"/>
        <v>0</v>
      </c>
      <c r="G14" s="32"/>
      <c r="H14" s="33">
        <f t="shared" si="2"/>
        <v>0</v>
      </c>
      <c r="I14" s="32"/>
      <c r="J14" s="33">
        <f t="shared" ref="J14" si="11">I14*I$8</f>
        <v>0</v>
      </c>
      <c r="K14" s="32"/>
      <c r="L14" s="33">
        <f t="shared" ref="L14" si="12">K14*K$8</f>
        <v>0</v>
      </c>
      <c r="M14" s="32"/>
      <c r="N14" s="33">
        <f t="shared" ref="N14" si="13">M14*M$8</f>
        <v>0</v>
      </c>
      <c r="O14" s="32"/>
      <c r="P14" s="33">
        <f t="shared" ref="P14" si="14">O14*O$8</f>
        <v>0</v>
      </c>
      <c r="Q14" s="32"/>
      <c r="R14" s="33">
        <f t="shared" ref="R14" si="15">Q14*Q$8</f>
        <v>0</v>
      </c>
      <c r="S14" s="32"/>
      <c r="T14" s="33">
        <f t="shared" ref="T14" si="16">S14*S$8</f>
        <v>0</v>
      </c>
      <c r="U14" s="32"/>
      <c r="V14" s="33">
        <f t="shared" ref="V14" si="17">U14*U$8</f>
        <v>0</v>
      </c>
      <c r="W14" s="33"/>
      <c r="X14" s="24">
        <f t="shared" si="10"/>
        <v>0</v>
      </c>
    </row>
    <row r="15" spans="1:24" ht="18.649999999999999" customHeight="1" x14ac:dyDescent="0.3">
      <c r="A15" s="11">
        <v>4</v>
      </c>
      <c r="B15" s="11"/>
      <c r="C15" s="32"/>
      <c r="D15" s="33">
        <f t="shared" si="0"/>
        <v>0</v>
      </c>
      <c r="E15" s="32"/>
      <c r="F15" s="33">
        <f t="shared" si="1"/>
        <v>0</v>
      </c>
      <c r="G15" s="32"/>
      <c r="H15" s="33">
        <f>G15*G$8</f>
        <v>0</v>
      </c>
      <c r="I15" s="32"/>
      <c r="J15" s="33">
        <f t="shared" ref="J15" si="18">I15*I$8</f>
        <v>0</v>
      </c>
      <c r="K15" s="32"/>
      <c r="L15" s="33">
        <f t="shared" ref="L15" si="19">K15*K$8</f>
        <v>0</v>
      </c>
      <c r="M15" s="32"/>
      <c r="N15" s="33">
        <f t="shared" ref="N15" si="20">M15*M$8</f>
        <v>0</v>
      </c>
      <c r="O15" s="32"/>
      <c r="P15" s="33">
        <f t="shared" ref="P15" si="21">O15*O$8</f>
        <v>0</v>
      </c>
      <c r="Q15" s="32"/>
      <c r="R15" s="33">
        <f t="shared" ref="R15" si="22">Q15*Q$8</f>
        <v>0</v>
      </c>
      <c r="S15" s="32"/>
      <c r="T15" s="33">
        <f t="shared" ref="T15" si="23">S15*S$8</f>
        <v>0</v>
      </c>
      <c r="U15" s="32"/>
      <c r="V15" s="33">
        <f t="shared" ref="V15" si="24">U15*U$8</f>
        <v>0</v>
      </c>
      <c r="W15" s="33"/>
      <c r="X15" s="24">
        <f t="shared" si="10"/>
        <v>0</v>
      </c>
    </row>
    <row r="16" spans="1:24" ht="18.649999999999999" customHeight="1" x14ac:dyDescent="0.3">
      <c r="A16" s="11">
        <v>5</v>
      </c>
      <c r="B16" s="11"/>
      <c r="C16" s="32"/>
      <c r="D16" s="33">
        <f>C16*C$8</f>
        <v>0</v>
      </c>
      <c r="E16" s="32"/>
      <c r="F16" s="33">
        <f t="shared" si="1"/>
        <v>0</v>
      </c>
      <c r="G16" s="32"/>
      <c r="H16" s="33">
        <f t="shared" si="2"/>
        <v>0</v>
      </c>
      <c r="I16" s="32"/>
      <c r="J16" s="33">
        <f t="shared" ref="J16" si="25">I16*I$8</f>
        <v>0</v>
      </c>
      <c r="K16" s="32"/>
      <c r="L16" s="33">
        <f t="shared" ref="L16" si="26">K16*K$8</f>
        <v>0</v>
      </c>
      <c r="M16" s="32"/>
      <c r="N16" s="33">
        <f t="shared" ref="N16" si="27">M16*M$8</f>
        <v>0</v>
      </c>
      <c r="O16" s="32"/>
      <c r="P16" s="33">
        <f t="shared" ref="P16" si="28">O16*O$8</f>
        <v>0</v>
      </c>
      <c r="Q16" s="32"/>
      <c r="R16" s="33">
        <f t="shared" ref="R16" si="29">Q16*Q$8</f>
        <v>0</v>
      </c>
      <c r="S16" s="32"/>
      <c r="T16" s="33">
        <f t="shared" ref="T16" si="30">S16*S$8</f>
        <v>0</v>
      </c>
      <c r="U16" s="32"/>
      <c r="V16" s="33">
        <f t="shared" ref="V16" si="31">U16*U$8</f>
        <v>0</v>
      </c>
      <c r="W16" s="33"/>
      <c r="X16" s="24">
        <f t="shared" si="10"/>
        <v>0</v>
      </c>
    </row>
    <row r="17" spans="1:24" ht="18.649999999999999" customHeight="1" x14ac:dyDescent="0.3">
      <c r="A17" s="11">
        <v>6</v>
      </c>
      <c r="B17" s="11"/>
      <c r="C17" s="32"/>
      <c r="D17" s="33">
        <f t="shared" si="0"/>
        <v>0</v>
      </c>
      <c r="E17" s="32"/>
      <c r="F17" s="33">
        <f t="shared" si="1"/>
        <v>0</v>
      </c>
      <c r="G17" s="32"/>
      <c r="H17" s="33">
        <f t="shared" si="2"/>
        <v>0</v>
      </c>
      <c r="I17" s="32"/>
      <c r="J17" s="33">
        <f t="shared" ref="J17" si="32">I17*I$8</f>
        <v>0</v>
      </c>
      <c r="K17" s="32"/>
      <c r="L17" s="33">
        <f t="shared" ref="L17" si="33">K17*K$8</f>
        <v>0</v>
      </c>
      <c r="M17" s="32"/>
      <c r="N17" s="33">
        <f t="shared" ref="N17" si="34">M17*M$8</f>
        <v>0</v>
      </c>
      <c r="O17" s="32"/>
      <c r="P17" s="33">
        <f t="shared" ref="P17" si="35">O17*O$8</f>
        <v>0</v>
      </c>
      <c r="Q17" s="32"/>
      <c r="R17" s="33">
        <f t="shared" ref="R17" si="36">Q17*Q$8</f>
        <v>0</v>
      </c>
      <c r="S17" s="32"/>
      <c r="T17" s="33">
        <f t="shared" ref="T17" si="37">S17*S$8</f>
        <v>0</v>
      </c>
      <c r="U17" s="32"/>
      <c r="V17" s="33">
        <f t="shared" ref="V17" si="38">U17*U$8</f>
        <v>0</v>
      </c>
      <c r="W17" s="33"/>
      <c r="X17" s="24">
        <f t="shared" si="10"/>
        <v>0</v>
      </c>
    </row>
    <row r="18" spans="1:24" ht="18.649999999999999" customHeight="1" x14ac:dyDescent="0.3">
      <c r="A18" s="11">
        <v>7</v>
      </c>
      <c r="B18" s="11"/>
      <c r="C18" s="32"/>
      <c r="D18" s="33">
        <f t="shared" si="0"/>
        <v>0</v>
      </c>
      <c r="E18" s="32"/>
      <c r="F18" s="33">
        <f t="shared" si="1"/>
        <v>0</v>
      </c>
      <c r="G18" s="32"/>
      <c r="H18" s="33">
        <f t="shared" si="2"/>
        <v>0</v>
      </c>
      <c r="I18" s="32"/>
      <c r="J18" s="33">
        <f t="shared" ref="J18" si="39">I18*I$8</f>
        <v>0</v>
      </c>
      <c r="K18" s="32"/>
      <c r="L18" s="33">
        <f t="shared" ref="L18" si="40">K18*K$8</f>
        <v>0</v>
      </c>
      <c r="M18" s="32"/>
      <c r="N18" s="33">
        <f t="shared" ref="N18" si="41">M18*M$8</f>
        <v>0</v>
      </c>
      <c r="O18" s="32"/>
      <c r="P18" s="33">
        <f t="shared" ref="P18" si="42">O18*O$8</f>
        <v>0</v>
      </c>
      <c r="Q18" s="32"/>
      <c r="R18" s="33">
        <f t="shared" ref="R18" si="43">Q18*Q$8</f>
        <v>0</v>
      </c>
      <c r="S18" s="32"/>
      <c r="T18" s="33">
        <f t="shared" ref="T18" si="44">S18*S$8</f>
        <v>0</v>
      </c>
      <c r="U18" s="32"/>
      <c r="V18" s="33">
        <f t="shared" ref="V18" si="45">U18*U$8</f>
        <v>0</v>
      </c>
      <c r="W18" s="33"/>
      <c r="X18" s="24">
        <f t="shared" si="10"/>
        <v>0</v>
      </c>
    </row>
    <row r="19" spans="1:24" ht="18.649999999999999" customHeight="1" x14ac:dyDescent="0.3">
      <c r="A19" s="11">
        <v>8</v>
      </c>
      <c r="B19" s="11"/>
      <c r="C19" s="32"/>
      <c r="D19" s="33">
        <f t="shared" si="0"/>
        <v>0</v>
      </c>
      <c r="E19" s="32"/>
      <c r="F19" s="33">
        <f t="shared" si="1"/>
        <v>0</v>
      </c>
      <c r="G19" s="32"/>
      <c r="H19" s="33">
        <f t="shared" si="2"/>
        <v>0</v>
      </c>
      <c r="I19" s="32"/>
      <c r="J19" s="33">
        <f t="shared" ref="J19" si="46">I19*I$8</f>
        <v>0</v>
      </c>
      <c r="K19" s="32"/>
      <c r="L19" s="33">
        <f t="shared" ref="L19" si="47">K19*K$8</f>
        <v>0</v>
      </c>
      <c r="M19" s="32"/>
      <c r="N19" s="33">
        <f t="shared" ref="N19" si="48">M19*M$8</f>
        <v>0</v>
      </c>
      <c r="O19" s="32"/>
      <c r="P19" s="33">
        <f t="shared" ref="P19" si="49">O19*O$8</f>
        <v>0</v>
      </c>
      <c r="Q19" s="32"/>
      <c r="R19" s="33">
        <f t="shared" ref="R19" si="50">Q19*Q$8</f>
        <v>0</v>
      </c>
      <c r="S19" s="32"/>
      <c r="T19" s="33">
        <f t="shared" ref="T19" si="51">S19*S$8</f>
        <v>0</v>
      </c>
      <c r="U19" s="32"/>
      <c r="V19" s="33">
        <f t="shared" ref="V19" si="52">U19*U$8</f>
        <v>0</v>
      </c>
      <c r="W19" s="33"/>
      <c r="X19" s="24">
        <f t="shared" si="10"/>
        <v>0</v>
      </c>
    </row>
    <row r="20" spans="1:24" ht="18.649999999999999" customHeight="1" x14ac:dyDescent="0.3">
      <c r="A20" s="11">
        <v>9</v>
      </c>
      <c r="B20" s="11"/>
      <c r="C20" s="32"/>
      <c r="D20" s="33">
        <f t="shared" si="0"/>
        <v>0</v>
      </c>
      <c r="E20" s="32"/>
      <c r="F20" s="33">
        <f t="shared" si="1"/>
        <v>0</v>
      </c>
      <c r="G20" s="32"/>
      <c r="H20" s="33">
        <f t="shared" si="2"/>
        <v>0</v>
      </c>
      <c r="I20" s="32"/>
      <c r="J20" s="33">
        <f t="shared" ref="J20" si="53">I20*I$8</f>
        <v>0</v>
      </c>
      <c r="K20" s="32"/>
      <c r="L20" s="33">
        <f t="shared" ref="L20" si="54">K20*K$8</f>
        <v>0</v>
      </c>
      <c r="M20" s="32"/>
      <c r="N20" s="33">
        <f t="shared" ref="N20" si="55">M20*M$8</f>
        <v>0</v>
      </c>
      <c r="O20" s="32"/>
      <c r="P20" s="33">
        <f t="shared" ref="P20" si="56">O20*O$8</f>
        <v>0</v>
      </c>
      <c r="Q20" s="32"/>
      <c r="R20" s="33">
        <f t="shared" ref="R20" si="57">Q20*Q$8</f>
        <v>0</v>
      </c>
      <c r="S20" s="32"/>
      <c r="T20" s="33">
        <f t="shared" ref="T20" si="58">S20*S$8</f>
        <v>0</v>
      </c>
      <c r="U20" s="32"/>
      <c r="V20" s="33">
        <f t="shared" ref="V20" si="59">U20*U$8</f>
        <v>0</v>
      </c>
      <c r="W20" s="33"/>
      <c r="X20" s="24">
        <f t="shared" si="10"/>
        <v>0</v>
      </c>
    </row>
    <row r="21" spans="1:24" ht="18.649999999999999" customHeight="1" x14ac:dyDescent="0.3">
      <c r="A21" s="11">
        <v>10</v>
      </c>
      <c r="B21" s="11"/>
      <c r="C21" s="32"/>
      <c r="D21" s="33">
        <f t="shared" si="0"/>
        <v>0</v>
      </c>
      <c r="E21" s="32"/>
      <c r="F21" s="33">
        <f t="shared" si="1"/>
        <v>0</v>
      </c>
      <c r="G21" s="32"/>
      <c r="H21" s="33">
        <f t="shared" si="2"/>
        <v>0</v>
      </c>
      <c r="I21" s="32"/>
      <c r="J21" s="33">
        <f t="shared" ref="J21" si="60">I21*I$8</f>
        <v>0</v>
      </c>
      <c r="K21" s="32"/>
      <c r="L21" s="33">
        <f t="shared" ref="L21" si="61">K21*K$8</f>
        <v>0</v>
      </c>
      <c r="M21" s="32"/>
      <c r="N21" s="33">
        <f t="shared" ref="N21" si="62">M21*M$8</f>
        <v>0</v>
      </c>
      <c r="O21" s="32"/>
      <c r="P21" s="33">
        <f t="shared" ref="P21" si="63">O21*O$8</f>
        <v>0</v>
      </c>
      <c r="Q21" s="32"/>
      <c r="R21" s="33">
        <f t="shared" ref="R21" si="64">Q21*Q$8</f>
        <v>0</v>
      </c>
      <c r="S21" s="32"/>
      <c r="T21" s="33">
        <f t="shared" ref="T21" si="65">S21*S$8</f>
        <v>0</v>
      </c>
      <c r="U21" s="32"/>
      <c r="V21" s="33">
        <f t="shared" ref="V21" si="66">U21*U$8</f>
        <v>0</v>
      </c>
      <c r="W21" s="33"/>
      <c r="X21" s="24">
        <f t="shared" si="10"/>
        <v>0</v>
      </c>
    </row>
    <row r="22" spans="1:24" x14ac:dyDescent="0.3">
      <c r="A22" s="34"/>
      <c r="B22" s="35" t="s">
        <v>34</v>
      </c>
      <c r="C22" s="32">
        <f>SUM(C12:C21)</f>
        <v>0</v>
      </c>
      <c r="D22" s="33">
        <f>SUM(D12:D21)</f>
        <v>0</v>
      </c>
      <c r="E22" s="32">
        <f t="shared" ref="E22:V22" si="67">SUM(E12:E21)</f>
        <v>0</v>
      </c>
      <c r="F22" s="33">
        <f t="shared" si="67"/>
        <v>0</v>
      </c>
      <c r="G22" s="32">
        <f>SUM(G12:G21)</f>
        <v>0</v>
      </c>
      <c r="H22" s="33">
        <f>SUM(H12:H21)</f>
        <v>0</v>
      </c>
      <c r="I22" s="32">
        <f t="shared" si="67"/>
        <v>0</v>
      </c>
      <c r="J22" s="33">
        <f t="shared" si="67"/>
        <v>0</v>
      </c>
      <c r="K22" s="32">
        <f t="shared" si="67"/>
        <v>0</v>
      </c>
      <c r="L22" s="33">
        <f t="shared" si="67"/>
        <v>0</v>
      </c>
      <c r="M22" s="32">
        <f t="shared" si="67"/>
        <v>0</v>
      </c>
      <c r="N22" s="33">
        <f t="shared" si="67"/>
        <v>0</v>
      </c>
      <c r="O22" s="32">
        <f t="shared" si="67"/>
        <v>0</v>
      </c>
      <c r="P22" s="33">
        <f t="shared" si="67"/>
        <v>0</v>
      </c>
      <c r="Q22" s="32">
        <f t="shared" si="67"/>
        <v>0</v>
      </c>
      <c r="R22" s="33">
        <f t="shared" si="67"/>
        <v>0</v>
      </c>
      <c r="S22" s="32">
        <f t="shared" si="67"/>
        <v>0</v>
      </c>
      <c r="T22" s="33">
        <f t="shared" si="67"/>
        <v>0</v>
      </c>
      <c r="U22" s="32">
        <f t="shared" si="67"/>
        <v>0</v>
      </c>
      <c r="V22" s="33">
        <f t="shared" si="67"/>
        <v>0</v>
      </c>
      <c r="W22" s="33">
        <f t="shared" ref="W22" si="68">SUM(W12:W15)</f>
        <v>0</v>
      </c>
      <c r="X22" s="36"/>
    </row>
    <row r="23" spans="1:24" ht="14.5" thickBot="1" x14ac:dyDescent="0.35">
      <c r="A23" s="37"/>
      <c r="B23" s="17" t="s">
        <v>35</v>
      </c>
      <c r="C23" s="17"/>
      <c r="D23" s="38"/>
      <c r="E23" s="17"/>
      <c r="F23" s="38"/>
      <c r="G23" s="17"/>
      <c r="H23" s="38"/>
      <c r="I23" s="17"/>
      <c r="J23" s="38"/>
      <c r="K23" s="17"/>
      <c r="L23" s="38"/>
      <c r="M23" s="17"/>
      <c r="N23" s="38"/>
      <c r="O23" s="17"/>
      <c r="P23" s="38"/>
      <c r="Q23" s="17"/>
      <c r="R23" s="38"/>
      <c r="S23" s="17"/>
      <c r="T23" s="38"/>
      <c r="U23" s="17"/>
      <c r="V23" s="38"/>
      <c r="W23" s="38"/>
      <c r="X23" s="61">
        <f>SUM(X12:X21)</f>
        <v>0</v>
      </c>
    </row>
    <row r="24" spans="1:24" x14ac:dyDescent="0.3">
      <c r="A24" s="39"/>
      <c r="B24" s="40"/>
      <c r="C24" s="41"/>
      <c r="D24" s="40"/>
      <c r="E24" s="41"/>
      <c r="F24" s="40"/>
      <c r="G24" s="41"/>
      <c r="H24" s="40"/>
      <c r="I24" s="41"/>
      <c r="J24" s="40"/>
      <c r="K24" s="41"/>
      <c r="L24" s="40"/>
      <c r="M24" s="41"/>
      <c r="N24" s="40"/>
      <c r="O24" s="41"/>
      <c r="P24" s="40"/>
      <c r="Q24" s="41"/>
      <c r="R24" s="40"/>
      <c r="S24" s="41"/>
      <c r="T24" s="40"/>
      <c r="U24" s="41"/>
      <c r="V24" s="40"/>
      <c r="W24" s="40"/>
      <c r="X24" s="42"/>
    </row>
    <row r="25" spans="1:24" x14ac:dyDescent="0.3">
      <c r="A25" s="39"/>
      <c r="B25" s="40"/>
      <c r="C25" s="41"/>
      <c r="D25" s="40"/>
      <c r="E25" s="41"/>
      <c r="F25" s="40"/>
      <c r="G25" s="41"/>
      <c r="H25" s="40"/>
      <c r="I25" s="41"/>
      <c r="J25" s="40"/>
      <c r="K25" s="41"/>
      <c r="L25" s="40"/>
      <c r="M25" s="41"/>
      <c r="N25" s="40"/>
      <c r="O25" s="41"/>
      <c r="P25" s="40"/>
      <c r="Q25" s="41"/>
      <c r="R25" s="40"/>
      <c r="S25" s="41"/>
      <c r="T25" s="40"/>
      <c r="U25" s="41"/>
      <c r="V25" s="40"/>
      <c r="W25" s="40"/>
      <c r="X25" s="42"/>
    </row>
    <row r="26" spans="1:24" x14ac:dyDescent="0.3">
      <c r="A26" s="39"/>
      <c r="B26" s="40"/>
      <c r="C26" s="41"/>
      <c r="D26" s="40"/>
      <c r="E26" s="41"/>
      <c r="F26" s="40"/>
      <c r="G26" s="41"/>
      <c r="H26" s="40"/>
      <c r="I26" s="41"/>
      <c r="J26" s="40"/>
      <c r="K26" s="41"/>
      <c r="L26" s="40"/>
      <c r="M26" s="41"/>
      <c r="N26" s="40"/>
      <c r="O26" s="41"/>
      <c r="P26" s="40"/>
      <c r="Q26" s="41"/>
      <c r="R26" s="40"/>
      <c r="S26" s="41"/>
      <c r="T26" s="40"/>
      <c r="U26" s="41"/>
      <c r="V26" s="40"/>
      <c r="W26" s="40"/>
      <c r="X26" s="42"/>
    </row>
    <row r="27" spans="1:24" x14ac:dyDescent="0.3">
      <c r="A27" s="39"/>
      <c r="B27" s="40"/>
      <c r="C27" s="41"/>
      <c r="D27" s="40"/>
      <c r="E27" s="41"/>
      <c r="F27" s="40"/>
      <c r="G27" s="41"/>
      <c r="H27" s="40"/>
      <c r="I27" s="41"/>
      <c r="J27" s="40"/>
      <c r="K27" s="41"/>
      <c r="L27" s="40"/>
      <c r="M27" s="41"/>
      <c r="N27" s="40"/>
      <c r="O27" s="41"/>
      <c r="P27" s="40"/>
      <c r="Q27" s="41"/>
      <c r="R27" s="40"/>
      <c r="S27" s="41"/>
      <c r="T27" s="40"/>
      <c r="U27" s="41"/>
      <c r="V27" s="40"/>
      <c r="W27" s="40"/>
      <c r="X27" s="42"/>
    </row>
    <row r="30" spans="1:24" ht="20.5" thickBot="1" x14ac:dyDescent="0.45">
      <c r="B30" s="1" t="s">
        <v>36</v>
      </c>
      <c r="F30" s="43"/>
      <c r="J30" s="43"/>
      <c r="L30" s="43"/>
    </row>
    <row r="31" spans="1:24" x14ac:dyDescent="0.3">
      <c r="A31" s="62" t="s">
        <v>8</v>
      </c>
      <c r="B31" s="68"/>
      <c r="C31" s="78">
        <v>400</v>
      </c>
      <c r="D31" s="78"/>
      <c r="E31" s="78">
        <v>400</v>
      </c>
      <c r="F31" s="78"/>
      <c r="G31" s="81">
        <v>400</v>
      </c>
      <c r="H31" s="82"/>
      <c r="I31" s="78">
        <v>320</v>
      </c>
      <c r="J31" s="78"/>
      <c r="K31" s="78">
        <v>320</v>
      </c>
      <c r="L31" s="78"/>
      <c r="M31" s="81">
        <v>250</v>
      </c>
      <c r="N31" s="82"/>
      <c r="O31" s="78">
        <v>220</v>
      </c>
      <c r="P31" s="78"/>
      <c r="Q31" s="78">
        <v>180</v>
      </c>
      <c r="R31" s="78"/>
      <c r="S31" s="78">
        <v>180</v>
      </c>
      <c r="T31" s="78"/>
      <c r="U31" s="78">
        <v>200</v>
      </c>
      <c r="V31" s="78"/>
      <c r="W31" s="74" t="s">
        <v>9</v>
      </c>
      <c r="X31" s="74" t="s">
        <v>10</v>
      </c>
    </row>
    <row r="32" spans="1:24" x14ac:dyDescent="0.3">
      <c r="A32" s="64"/>
      <c r="B32" s="69"/>
      <c r="C32" s="69" t="s">
        <v>11</v>
      </c>
      <c r="D32" s="69"/>
      <c r="E32" s="69" t="s">
        <v>12</v>
      </c>
      <c r="F32" s="69"/>
      <c r="G32" s="79" t="s">
        <v>13</v>
      </c>
      <c r="H32" s="80"/>
      <c r="I32" s="69" t="s">
        <v>14</v>
      </c>
      <c r="J32" s="69"/>
      <c r="K32" s="69" t="s">
        <v>50</v>
      </c>
      <c r="L32" s="69"/>
      <c r="M32" s="79" t="s">
        <v>15</v>
      </c>
      <c r="N32" s="80"/>
      <c r="O32" s="69" t="s">
        <v>16</v>
      </c>
      <c r="P32" s="69"/>
      <c r="Q32" s="69" t="s">
        <v>17</v>
      </c>
      <c r="R32" s="69"/>
      <c r="S32" s="69" t="s">
        <v>18</v>
      </c>
      <c r="T32" s="69"/>
      <c r="U32" s="69" t="s">
        <v>19</v>
      </c>
      <c r="V32" s="69"/>
      <c r="W32" s="75"/>
      <c r="X32" s="75"/>
    </row>
    <row r="33" spans="1:24" ht="35.15" customHeight="1" x14ac:dyDescent="0.3">
      <c r="A33" s="64"/>
      <c r="B33" s="69"/>
      <c r="C33" s="77" t="s">
        <v>20</v>
      </c>
      <c r="D33" s="77"/>
      <c r="E33" s="77" t="s">
        <v>20</v>
      </c>
      <c r="F33" s="77"/>
      <c r="G33" s="83" t="s">
        <v>23</v>
      </c>
      <c r="H33" s="84"/>
      <c r="I33" s="77" t="s">
        <v>22</v>
      </c>
      <c r="J33" s="77"/>
      <c r="K33" s="77" t="s">
        <v>22</v>
      </c>
      <c r="L33" s="77"/>
      <c r="M33" s="83" t="s">
        <v>23</v>
      </c>
      <c r="N33" s="84"/>
      <c r="O33" s="77" t="s">
        <v>24</v>
      </c>
      <c r="P33" s="77"/>
      <c r="Q33" s="77" t="s">
        <v>25</v>
      </c>
      <c r="R33" s="77"/>
      <c r="S33" s="77" t="s">
        <v>26</v>
      </c>
      <c r="T33" s="77"/>
      <c r="U33" s="77" t="s">
        <v>27</v>
      </c>
      <c r="V33" s="77"/>
      <c r="W33" s="76"/>
      <c r="X33" s="76"/>
    </row>
    <row r="34" spans="1:24" x14ac:dyDescent="0.3">
      <c r="A34" s="22" t="s">
        <v>28</v>
      </c>
      <c r="B34" s="23" t="s">
        <v>29</v>
      </c>
      <c r="C34" s="60" t="s">
        <v>30</v>
      </c>
      <c r="D34" s="60" t="s">
        <v>31</v>
      </c>
      <c r="E34" s="60" t="s">
        <v>30</v>
      </c>
      <c r="F34" s="60" t="s">
        <v>31</v>
      </c>
      <c r="G34" s="60" t="s">
        <v>30</v>
      </c>
      <c r="H34" s="60" t="s">
        <v>31</v>
      </c>
      <c r="I34" s="60" t="s">
        <v>30</v>
      </c>
      <c r="J34" s="60" t="s">
        <v>31</v>
      </c>
      <c r="K34" s="60" t="s">
        <v>30</v>
      </c>
      <c r="L34" s="60" t="s">
        <v>31</v>
      </c>
      <c r="M34" s="60" t="s">
        <v>30</v>
      </c>
      <c r="N34" s="60" t="s">
        <v>31</v>
      </c>
      <c r="O34" s="60" t="s">
        <v>30</v>
      </c>
      <c r="P34" s="60" t="s">
        <v>31</v>
      </c>
      <c r="Q34" s="60" t="s">
        <v>30</v>
      </c>
      <c r="R34" s="60" t="s">
        <v>31</v>
      </c>
      <c r="S34" s="60" t="s">
        <v>30</v>
      </c>
      <c r="T34" s="60" t="s">
        <v>31</v>
      </c>
      <c r="U34" s="60" t="s">
        <v>30</v>
      </c>
      <c r="V34" s="60" t="s">
        <v>31</v>
      </c>
      <c r="W34" s="60" t="s">
        <v>31</v>
      </c>
      <c r="X34" s="60" t="s">
        <v>32</v>
      </c>
    </row>
    <row r="35" spans="1:24" x14ac:dyDescent="0.3">
      <c r="A35" s="11">
        <v>1</v>
      </c>
      <c r="B35" s="12" t="s">
        <v>33</v>
      </c>
      <c r="C35" s="32"/>
      <c r="D35" s="33">
        <f>C35*C$8</f>
        <v>0</v>
      </c>
      <c r="E35" s="32"/>
      <c r="F35" s="33">
        <f>E35*E$8</f>
        <v>0</v>
      </c>
      <c r="G35" s="32"/>
      <c r="H35" s="33">
        <f>G35*G$8</f>
        <v>0</v>
      </c>
      <c r="I35" s="32"/>
      <c r="J35" s="33">
        <f>I35*I$8</f>
        <v>0</v>
      </c>
      <c r="K35" s="32"/>
      <c r="L35" s="33">
        <f>K35*K$8</f>
        <v>0</v>
      </c>
      <c r="M35" s="32"/>
      <c r="N35" s="33">
        <f>M35*M$8</f>
        <v>0</v>
      </c>
      <c r="O35" s="32"/>
      <c r="P35" s="33">
        <f>O35*O$8</f>
        <v>0</v>
      </c>
      <c r="Q35" s="32"/>
      <c r="R35" s="33">
        <f>Q35*Q$8</f>
        <v>0</v>
      </c>
      <c r="S35" s="32"/>
      <c r="T35" s="33">
        <f>S35*S$8</f>
        <v>0</v>
      </c>
      <c r="U35" s="32"/>
      <c r="V35" s="33">
        <f>U35*U$8</f>
        <v>0</v>
      </c>
      <c r="W35" s="33"/>
      <c r="X35" s="24">
        <f>(SUM(W35+P35+F35+N35+D35+T35+L35+R35+V35+J35))</f>
        <v>0</v>
      </c>
    </row>
    <row r="36" spans="1:24" x14ac:dyDescent="0.3">
      <c r="A36" s="11">
        <v>2</v>
      </c>
      <c r="B36" s="12"/>
      <c r="C36" s="32"/>
      <c r="D36" s="33">
        <f t="shared" ref="D36:F39" si="69">C36*C$8</f>
        <v>0</v>
      </c>
      <c r="E36" s="32"/>
      <c r="F36" s="33">
        <f t="shared" si="69"/>
        <v>0</v>
      </c>
      <c r="G36" s="32"/>
      <c r="H36" s="33">
        <f>G36*G$8</f>
        <v>0</v>
      </c>
      <c r="I36" s="32"/>
      <c r="J36" s="33">
        <f t="shared" ref="J36" si="70">I36*I$8</f>
        <v>0</v>
      </c>
      <c r="K36" s="32"/>
      <c r="L36" s="33">
        <f t="shared" ref="L36" si="71">K36*K$8</f>
        <v>0</v>
      </c>
      <c r="M36" s="32"/>
      <c r="N36" s="33">
        <f t="shared" ref="N36" si="72">M36*M$8</f>
        <v>0</v>
      </c>
      <c r="O36" s="32"/>
      <c r="P36" s="33">
        <f t="shared" ref="P36" si="73">O36*O$8</f>
        <v>0</v>
      </c>
      <c r="Q36" s="32"/>
      <c r="R36" s="33">
        <f t="shared" ref="R36" si="74">Q36*Q$8</f>
        <v>0</v>
      </c>
      <c r="S36" s="32"/>
      <c r="T36" s="33">
        <f t="shared" ref="T36" si="75">S36*S$8</f>
        <v>0</v>
      </c>
      <c r="U36" s="32"/>
      <c r="V36" s="33">
        <f t="shared" ref="V36" si="76">U36*U$8</f>
        <v>0</v>
      </c>
      <c r="W36" s="33"/>
      <c r="X36" s="24">
        <f>(SUM(W36+P36+F36+N36+D36+T36+L36+R36+V36+J36))</f>
        <v>0</v>
      </c>
    </row>
    <row r="37" spans="1:24" x14ac:dyDescent="0.3">
      <c r="A37" s="11">
        <v>3</v>
      </c>
      <c r="B37" s="12"/>
      <c r="C37" s="32"/>
      <c r="D37" s="33">
        <f t="shared" si="69"/>
        <v>0</v>
      </c>
      <c r="E37" s="32"/>
      <c r="F37" s="33">
        <f t="shared" si="69"/>
        <v>0</v>
      </c>
      <c r="G37" s="32"/>
      <c r="H37" s="33">
        <f>G37*G$8</f>
        <v>0</v>
      </c>
      <c r="I37" s="32"/>
      <c r="J37" s="33">
        <f t="shared" ref="J37" si="77">I37*I$8</f>
        <v>0</v>
      </c>
      <c r="K37" s="32"/>
      <c r="L37" s="33">
        <f t="shared" ref="L37" si="78">K37*K$8</f>
        <v>0</v>
      </c>
      <c r="M37" s="32"/>
      <c r="N37" s="33">
        <f t="shared" ref="N37" si="79">M37*M$8</f>
        <v>0</v>
      </c>
      <c r="O37" s="32"/>
      <c r="P37" s="33">
        <f t="shared" ref="P37" si="80">O37*O$8</f>
        <v>0</v>
      </c>
      <c r="Q37" s="32"/>
      <c r="R37" s="33">
        <f t="shared" ref="R37" si="81">Q37*Q$8</f>
        <v>0</v>
      </c>
      <c r="S37" s="32"/>
      <c r="T37" s="33">
        <f t="shared" ref="T37" si="82">S37*S$8</f>
        <v>0</v>
      </c>
      <c r="U37" s="32"/>
      <c r="V37" s="33">
        <f t="shared" ref="V37" si="83">U37*U$8</f>
        <v>0</v>
      </c>
      <c r="W37" s="33"/>
      <c r="X37" s="24">
        <f>(SUM(W37+P37+F37+N37+D37+T37+L37+R37+V37+J37))</f>
        <v>0</v>
      </c>
    </row>
    <row r="38" spans="1:24" x14ac:dyDescent="0.3">
      <c r="A38" s="11">
        <v>4</v>
      </c>
      <c r="B38" s="12"/>
      <c r="C38" s="32"/>
      <c r="D38" s="33">
        <f t="shared" si="69"/>
        <v>0</v>
      </c>
      <c r="E38" s="32"/>
      <c r="F38" s="33">
        <f t="shared" si="69"/>
        <v>0</v>
      </c>
      <c r="G38" s="32"/>
      <c r="H38" s="33">
        <f>G38*G$8</f>
        <v>0</v>
      </c>
      <c r="I38" s="32"/>
      <c r="J38" s="33">
        <f t="shared" ref="J38" si="84">I38*I$8</f>
        <v>0</v>
      </c>
      <c r="K38" s="32"/>
      <c r="L38" s="33">
        <f t="shared" ref="L38" si="85">K38*K$8</f>
        <v>0</v>
      </c>
      <c r="M38" s="32"/>
      <c r="N38" s="33">
        <f t="shared" ref="N38" si="86">M38*M$8</f>
        <v>0</v>
      </c>
      <c r="O38" s="32"/>
      <c r="P38" s="33">
        <f t="shared" ref="P38" si="87">O38*O$8</f>
        <v>0</v>
      </c>
      <c r="Q38" s="32"/>
      <c r="R38" s="33">
        <f t="shared" ref="R38" si="88">Q38*Q$8</f>
        <v>0</v>
      </c>
      <c r="S38" s="32"/>
      <c r="T38" s="33">
        <f t="shared" ref="T38" si="89">S38*S$8</f>
        <v>0</v>
      </c>
      <c r="U38" s="32"/>
      <c r="V38" s="33">
        <f t="shared" ref="V38" si="90">U38*U$8</f>
        <v>0</v>
      </c>
      <c r="W38" s="33"/>
      <c r="X38" s="24">
        <f>(SUM(W38+P38+F38+N38+D38+T38+L38+R38+V38+J38))</f>
        <v>0</v>
      </c>
    </row>
    <row r="39" spans="1:24" x14ac:dyDescent="0.3">
      <c r="A39" s="11">
        <v>5</v>
      </c>
      <c r="B39" s="12"/>
      <c r="C39" s="32"/>
      <c r="D39" s="33">
        <f t="shared" si="69"/>
        <v>0</v>
      </c>
      <c r="E39" s="32"/>
      <c r="F39" s="33">
        <f t="shared" si="69"/>
        <v>0</v>
      </c>
      <c r="G39" s="32"/>
      <c r="H39" s="33">
        <f>G39*G$8</f>
        <v>0</v>
      </c>
      <c r="I39" s="32"/>
      <c r="J39" s="33">
        <f t="shared" ref="J39" si="91">I39*I$8</f>
        <v>0</v>
      </c>
      <c r="K39" s="32"/>
      <c r="L39" s="33">
        <f t="shared" ref="L39" si="92">K39*K$8</f>
        <v>0</v>
      </c>
      <c r="M39" s="32"/>
      <c r="N39" s="33">
        <f t="shared" ref="N39" si="93">M39*M$8</f>
        <v>0</v>
      </c>
      <c r="O39" s="32"/>
      <c r="P39" s="33">
        <f t="shared" ref="P39" si="94">O39*O$8</f>
        <v>0</v>
      </c>
      <c r="Q39" s="32"/>
      <c r="R39" s="33">
        <f t="shared" ref="R39" si="95">Q39*Q$8</f>
        <v>0</v>
      </c>
      <c r="S39" s="32"/>
      <c r="T39" s="33">
        <f t="shared" ref="T39" si="96">S39*S$8</f>
        <v>0</v>
      </c>
      <c r="U39" s="32"/>
      <c r="V39" s="33">
        <f t="shared" ref="V39" si="97">U39*U$8</f>
        <v>0</v>
      </c>
      <c r="W39" s="33"/>
      <c r="X39" s="24">
        <f>(SUM(W39+P39+F39+N39+D39+T39+L39+R39+V39+J39))</f>
        <v>0</v>
      </c>
    </row>
    <row r="40" spans="1:24" x14ac:dyDescent="0.3">
      <c r="A40" s="34"/>
      <c r="B40" s="35" t="s">
        <v>34</v>
      </c>
      <c r="C40" s="32">
        <f t="shared" ref="C40:V40" si="98">SUM(C35:C39)</f>
        <v>0</v>
      </c>
      <c r="D40" s="33">
        <f t="shared" si="98"/>
        <v>0</v>
      </c>
      <c r="E40" s="32">
        <f t="shared" si="98"/>
        <v>0</v>
      </c>
      <c r="F40" s="33">
        <f t="shared" si="98"/>
        <v>0</v>
      </c>
      <c r="G40" s="32">
        <f t="shared" ref="G40:H40" si="99">SUM(G35:G39)</f>
        <v>0</v>
      </c>
      <c r="H40" s="33">
        <f t="shared" si="99"/>
        <v>0</v>
      </c>
      <c r="I40" s="32">
        <f t="shared" si="98"/>
        <v>0</v>
      </c>
      <c r="J40" s="33">
        <f t="shared" si="98"/>
        <v>0</v>
      </c>
      <c r="K40" s="32">
        <f t="shared" si="98"/>
        <v>0</v>
      </c>
      <c r="L40" s="33">
        <f t="shared" si="98"/>
        <v>0</v>
      </c>
      <c r="M40" s="32">
        <f t="shared" si="98"/>
        <v>0</v>
      </c>
      <c r="N40" s="33">
        <f t="shared" si="98"/>
        <v>0</v>
      </c>
      <c r="O40" s="32">
        <f t="shared" si="98"/>
        <v>0</v>
      </c>
      <c r="P40" s="33">
        <f t="shared" si="98"/>
        <v>0</v>
      </c>
      <c r="Q40" s="32">
        <f t="shared" si="98"/>
        <v>0</v>
      </c>
      <c r="R40" s="33">
        <f t="shared" si="98"/>
        <v>0</v>
      </c>
      <c r="S40" s="32">
        <f t="shared" si="98"/>
        <v>0</v>
      </c>
      <c r="T40" s="33">
        <f t="shared" si="98"/>
        <v>0</v>
      </c>
      <c r="U40" s="32">
        <f t="shared" si="98"/>
        <v>0</v>
      </c>
      <c r="V40" s="33">
        <f t="shared" si="98"/>
        <v>0</v>
      </c>
      <c r="W40" s="33">
        <f t="shared" ref="W40" si="100">SUM(W35:W35)</f>
        <v>0</v>
      </c>
      <c r="X40" s="36"/>
    </row>
    <row r="41" spans="1:24" ht="14.5" thickBot="1" x14ac:dyDescent="0.35">
      <c r="A41" s="37"/>
      <c r="B41" s="17" t="s">
        <v>35</v>
      </c>
      <c r="C41" s="17"/>
      <c r="D41" s="38"/>
      <c r="E41" s="17"/>
      <c r="F41" s="38"/>
      <c r="G41" s="17"/>
      <c r="H41" s="38"/>
      <c r="I41" s="17"/>
      <c r="J41" s="38"/>
      <c r="K41" s="17"/>
      <c r="L41" s="38"/>
      <c r="M41" s="17"/>
      <c r="N41" s="38"/>
      <c r="O41" s="17"/>
      <c r="P41" s="38"/>
      <c r="Q41" s="17"/>
      <c r="R41" s="38"/>
      <c r="S41" s="17"/>
      <c r="T41" s="38"/>
      <c r="U41" s="17"/>
      <c r="V41" s="38"/>
      <c r="W41" s="38"/>
      <c r="X41" s="61">
        <f>SUM(X35:X39)</f>
        <v>0</v>
      </c>
    </row>
    <row r="45" spans="1:24" x14ac:dyDescent="0.3">
      <c r="L45" s="39"/>
    </row>
    <row r="46" spans="1:24" ht="15.5" x14ac:dyDescent="0.35">
      <c r="H46" s="44"/>
      <c r="L46" s="39"/>
    </row>
    <row r="47" spans="1:24" x14ac:dyDescent="0.3">
      <c r="L47" s="45"/>
    </row>
  </sheetData>
  <mergeCells count="69">
    <mergeCell ref="C4:D4"/>
    <mergeCell ref="C5:D5"/>
    <mergeCell ref="C6:D6"/>
    <mergeCell ref="S33:T33"/>
    <mergeCell ref="I9:J9"/>
    <mergeCell ref="I10:J10"/>
    <mergeCell ref="G33:H33"/>
    <mergeCell ref="U33:V33"/>
    <mergeCell ref="M33:N33"/>
    <mergeCell ref="O33:P33"/>
    <mergeCell ref="Q33:R33"/>
    <mergeCell ref="S31:T31"/>
    <mergeCell ref="U31:V31"/>
    <mergeCell ref="U8:V8"/>
    <mergeCell ref="U9:V9"/>
    <mergeCell ref="U10:V10"/>
    <mergeCell ref="K10:L10"/>
    <mergeCell ref="G32:H32"/>
    <mergeCell ref="Q10:R10"/>
    <mergeCell ref="M8:N8"/>
    <mergeCell ref="M9:N9"/>
    <mergeCell ref="M10:N10"/>
    <mergeCell ref="G8:H8"/>
    <mergeCell ref="G9:H9"/>
    <mergeCell ref="G10:H10"/>
    <mergeCell ref="Q8:R8"/>
    <mergeCell ref="Q9:R9"/>
    <mergeCell ref="K8:L8"/>
    <mergeCell ref="K9:L9"/>
    <mergeCell ref="W31:W33"/>
    <mergeCell ref="X31:X33"/>
    <mergeCell ref="C32:D32"/>
    <mergeCell ref="E32:F32"/>
    <mergeCell ref="I32:J32"/>
    <mergeCell ref="K32:L32"/>
    <mergeCell ref="M32:N32"/>
    <mergeCell ref="O32:P32"/>
    <mergeCell ref="Q32:R32"/>
    <mergeCell ref="S32:T32"/>
    <mergeCell ref="U32:V32"/>
    <mergeCell ref="C33:D33"/>
    <mergeCell ref="M31:N31"/>
    <mergeCell ref="O31:P31"/>
    <mergeCell ref="Q31:R31"/>
    <mergeCell ref="G31:H31"/>
    <mergeCell ref="A31:B33"/>
    <mergeCell ref="C31:D31"/>
    <mergeCell ref="E31:F31"/>
    <mergeCell ref="I31:J31"/>
    <mergeCell ref="K31:L31"/>
    <mergeCell ref="E33:F33"/>
    <mergeCell ref="I33:J33"/>
    <mergeCell ref="K33:L33"/>
    <mergeCell ref="X8:X10"/>
    <mergeCell ref="S10:T10"/>
    <mergeCell ref="A8:B10"/>
    <mergeCell ref="W8:W10"/>
    <mergeCell ref="C8:D8"/>
    <mergeCell ref="C9:D9"/>
    <mergeCell ref="C10:D10"/>
    <mergeCell ref="E8:F8"/>
    <mergeCell ref="E9:F9"/>
    <mergeCell ref="E10:F10"/>
    <mergeCell ref="O8:P8"/>
    <mergeCell ref="O9:P9"/>
    <mergeCell ref="O10:P10"/>
    <mergeCell ref="S8:T8"/>
    <mergeCell ref="S9:T9"/>
    <mergeCell ref="I8:J8"/>
  </mergeCells>
  <conditionalFormatting sqref="D12:D21 F12:H21 J12:J21 L12:L21 N12:N21 P12:P21 R12:R21 T12:T21 V12:W21">
    <cfRule type="cellIs" dxfId="2" priority="7" operator="equal">
      <formula>0</formula>
    </cfRule>
  </conditionalFormatting>
  <conditionalFormatting sqref="D35:D39 F35:H39 J35:J39 L35:L39 N35:N39 P35:P39 R35:R39 T35:T39 V35:W39">
    <cfRule type="cellIs" dxfId="1" priority="2" operator="equal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24CE-45D4-46E6-BD16-20FFC74BC69D}">
  <dimension ref="A1:U32"/>
  <sheetViews>
    <sheetView workbookViewId="0">
      <selection activeCell="D4" sqref="D4:E6"/>
    </sheetView>
  </sheetViews>
  <sheetFormatPr defaultColWidth="9.1796875" defaultRowHeight="14" x14ac:dyDescent="0.3"/>
  <cols>
    <col min="1" max="1" width="5.7265625" style="2" bestFit="1" customWidth="1"/>
    <col min="2" max="2" width="46.54296875" style="2" bestFit="1" customWidth="1"/>
    <col min="3" max="3" width="10.81640625" style="2" bestFit="1" customWidth="1"/>
    <col min="4" max="4" width="13.7265625" style="3" bestFit="1" customWidth="1"/>
    <col min="5" max="5" width="15" style="4" bestFit="1" customWidth="1"/>
    <col min="6" max="6" width="13.7265625" style="3" bestFit="1" customWidth="1"/>
    <col min="7" max="7" width="15" style="2" bestFit="1" customWidth="1"/>
    <col min="8" max="8" width="13.7265625" style="3" bestFit="1" customWidth="1"/>
    <col min="9" max="9" width="15" style="2" customWidth="1"/>
    <col min="10" max="10" width="13.7265625" style="3" bestFit="1" customWidth="1"/>
    <col min="11" max="11" width="15" style="2" bestFit="1" customWidth="1"/>
    <col min="12" max="12" width="13.7265625" style="3" bestFit="1" customWidth="1"/>
    <col min="13" max="13" width="15" style="2" bestFit="1" customWidth="1"/>
    <col min="14" max="14" width="13.7265625" style="3" bestFit="1" customWidth="1"/>
    <col min="15" max="15" width="15" style="2" bestFit="1" customWidth="1"/>
    <col min="16" max="17" width="9.1796875" style="2"/>
    <col min="18" max="18" width="13.7265625" style="3" bestFit="1" customWidth="1"/>
    <col min="19" max="19" width="13.7265625" style="2" bestFit="1" customWidth="1"/>
    <col min="20" max="20" width="9.1796875" style="2"/>
    <col min="21" max="21" width="16.26953125" style="2" bestFit="1" customWidth="1"/>
    <col min="22" max="16384" width="9.1796875" style="2"/>
  </cols>
  <sheetData>
    <row r="1" spans="1:21" ht="20" x14ac:dyDescent="0.4">
      <c r="A1" s="1" t="s">
        <v>37</v>
      </c>
    </row>
    <row r="3" spans="1:21" ht="14.5" thickBot="1" x14ac:dyDescent="0.35"/>
    <row r="4" spans="1:21" ht="14.5" customHeight="1" x14ac:dyDescent="0.3">
      <c r="A4" s="62" t="s">
        <v>8</v>
      </c>
      <c r="B4" s="68"/>
      <c r="C4" s="70" t="s">
        <v>10</v>
      </c>
      <c r="D4" s="62" t="s">
        <v>38</v>
      </c>
      <c r="E4" s="63"/>
      <c r="F4" s="62" t="s">
        <v>38</v>
      </c>
      <c r="G4" s="63"/>
      <c r="H4" s="62" t="s">
        <v>38</v>
      </c>
      <c r="I4" s="63"/>
      <c r="J4" s="62" t="s">
        <v>38</v>
      </c>
      <c r="K4" s="63"/>
      <c r="L4" s="62" t="s">
        <v>38</v>
      </c>
      <c r="M4" s="63"/>
      <c r="N4" s="62" t="s">
        <v>38</v>
      </c>
      <c r="O4" s="63"/>
      <c r="R4" s="62" t="s">
        <v>39</v>
      </c>
      <c r="S4" s="63"/>
    </row>
    <row r="5" spans="1:21" ht="14.5" customHeight="1" x14ac:dyDescent="0.3">
      <c r="A5" s="64"/>
      <c r="B5" s="69"/>
      <c r="C5" s="71"/>
      <c r="D5" s="64"/>
      <c r="E5" s="65"/>
      <c r="F5" s="64"/>
      <c r="G5" s="65"/>
      <c r="H5" s="64"/>
      <c r="I5" s="65"/>
      <c r="J5" s="64"/>
      <c r="K5" s="65"/>
      <c r="L5" s="64"/>
      <c r="M5" s="65"/>
      <c r="N5" s="64"/>
      <c r="O5" s="65"/>
      <c r="R5" s="64"/>
      <c r="S5" s="65"/>
    </row>
    <row r="6" spans="1:21" ht="15" customHeight="1" thickBot="1" x14ac:dyDescent="0.35">
      <c r="A6" s="66"/>
      <c r="B6" s="73"/>
      <c r="C6" s="72"/>
      <c r="D6" s="66"/>
      <c r="E6" s="67"/>
      <c r="F6" s="66"/>
      <c r="G6" s="67"/>
      <c r="H6" s="66"/>
      <c r="I6" s="67"/>
      <c r="J6" s="66"/>
      <c r="K6" s="67"/>
      <c r="L6" s="66"/>
      <c r="M6" s="67"/>
      <c r="N6" s="66"/>
      <c r="O6" s="67"/>
      <c r="R6" s="66"/>
      <c r="S6" s="67"/>
    </row>
    <row r="7" spans="1:21" x14ac:dyDescent="0.3">
      <c r="A7" s="5" t="s">
        <v>28</v>
      </c>
      <c r="B7" s="6" t="s">
        <v>29</v>
      </c>
      <c r="C7" s="7" t="s">
        <v>32</v>
      </c>
      <c r="D7" s="8" t="s">
        <v>40</v>
      </c>
      <c r="E7" s="9" t="s">
        <v>41</v>
      </c>
      <c r="F7" s="8" t="s">
        <v>40</v>
      </c>
      <c r="G7" s="10" t="s">
        <v>41</v>
      </c>
      <c r="H7" s="8" t="s">
        <v>40</v>
      </c>
      <c r="I7" s="10" t="s">
        <v>41</v>
      </c>
      <c r="J7" s="8" t="s">
        <v>40</v>
      </c>
      <c r="K7" s="10" t="s">
        <v>41</v>
      </c>
      <c r="L7" s="8" t="s">
        <v>40</v>
      </c>
      <c r="M7" s="10" t="s">
        <v>41</v>
      </c>
      <c r="N7" s="8" t="s">
        <v>40</v>
      </c>
      <c r="O7" s="10" t="s">
        <v>41</v>
      </c>
      <c r="R7" s="8" t="s">
        <v>40</v>
      </c>
      <c r="S7" s="10" t="s">
        <v>41</v>
      </c>
      <c r="U7" s="23" t="s">
        <v>42</v>
      </c>
    </row>
    <row r="8" spans="1:21" x14ac:dyDescent="0.3">
      <c r="A8" s="11">
        <f>'Rain Fee'!A12</f>
        <v>1</v>
      </c>
      <c r="B8" s="12" t="str">
        <f>'Rain Fee'!B12</f>
        <v>INSERT TASK HERE</v>
      </c>
      <c r="C8" s="13">
        <f>'Rain Fee'!X12</f>
        <v>0</v>
      </c>
      <c r="D8" s="14"/>
      <c r="E8" s="15">
        <f>+C8*(D8)</f>
        <v>0</v>
      </c>
      <c r="F8" s="14"/>
      <c r="G8" s="15">
        <f>+C8*(F8)</f>
        <v>0</v>
      </c>
      <c r="H8" s="14"/>
      <c r="I8" s="15">
        <f>+E8*(H8)</f>
        <v>0</v>
      </c>
      <c r="J8" s="14"/>
      <c r="K8" s="15">
        <f>+G8*(J8)</f>
        <v>0</v>
      </c>
      <c r="L8" s="14"/>
      <c r="M8" s="15">
        <f>+I8*(L8)</f>
        <v>0</v>
      </c>
      <c r="N8" s="14"/>
      <c r="O8" s="15">
        <f>+K8*(N8)</f>
        <v>0</v>
      </c>
      <c r="R8" s="14">
        <f>D8+F8+H8+J8+L8+N8</f>
        <v>0</v>
      </c>
      <c r="S8" s="15">
        <f>E8+G8+I8+K8+M8+O8</f>
        <v>0</v>
      </c>
      <c r="U8" s="59">
        <f>C8-S8</f>
        <v>0</v>
      </c>
    </row>
    <row r="9" spans="1:21" x14ac:dyDescent="0.3">
      <c r="A9" s="11">
        <f>'Rain Fee'!A13</f>
        <v>2</v>
      </c>
      <c r="B9" s="12">
        <f>'Rain Fee'!B13</f>
        <v>0</v>
      </c>
      <c r="C9" s="13">
        <f>'Rain Fee'!X13</f>
        <v>0</v>
      </c>
      <c r="D9" s="14"/>
      <c r="E9" s="15">
        <f t="shared" ref="E9:E11" si="0">+C9*(D9)</f>
        <v>0</v>
      </c>
      <c r="F9" s="14"/>
      <c r="G9" s="15">
        <f t="shared" ref="G9:G11" si="1">+C9*(F9)</f>
        <v>0</v>
      </c>
      <c r="H9" s="14"/>
      <c r="I9" s="15">
        <f t="shared" ref="I9:I17" si="2">+E9*(H9)</f>
        <v>0</v>
      </c>
      <c r="J9" s="14"/>
      <c r="K9" s="15">
        <f t="shared" ref="K9:K17" si="3">+G9*(J9)</f>
        <v>0</v>
      </c>
      <c r="L9" s="14"/>
      <c r="M9" s="15">
        <f t="shared" ref="M9:M17" si="4">+I9*(L9)</f>
        <v>0</v>
      </c>
      <c r="N9" s="14"/>
      <c r="O9" s="15">
        <f t="shared" ref="O9:O17" si="5">+K9*(N9)</f>
        <v>0</v>
      </c>
      <c r="R9" s="14">
        <f t="shared" ref="R9:R17" si="6">D9+F9+H9+J9+L9+N9</f>
        <v>0</v>
      </c>
      <c r="S9" s="15">
        <f t="shared" ref="S9:S17" si="7">E9+G9+I9+K9+M9+O9</f>
        <v>0</v>
      </c>
      <c r="U9" s="59">
        <f t="shared" ref="U9:U17" si="8">C9-S9</f>
        <v>0</v>
      </c>
    </row>
    <row r="10" spans="1:21" x14ac:dyDescent="0.3">
      <c r="A10" s="11">
        <f>'Rain Fee'!A14</f>
        <v>3</v>
      </c>
      <c r="B10" s="12">
        <f>'Rain Fee'!B14</f>
        <v>0</v>
      </c>
      <c r="C10" s="13">
        <f>'Rain Fee'!X14</f>
        <v>0</v>
      </c>
      <c r="D10" s="14"/>
      <c r="E10" s="15">
        <f t="shared" si="0"/>
        <v>0</v>
      </c>
      <c r="F10" s="14"/>
      <c r="G10" s="15">
        <f t="shared" si="1"/>
        <v>0</v>
      </c>
      <c r="H10" s="14"/>
      <c r="I10" s="15">
        <f t="shared" si="2"/>
        <v>0</v>
      </c>
      <c r="J10" s="14"/>
      <c r="K10" s="15">
        <f t="shared" si="3"/>
        <v>0</v>
      </c>
      <c r="L10" s="14"/>
      <c r="M10" s="15">
        <f t="shared" si="4"/>
        <v>0</v>
      </c>
      <c r="N10" s="14"/>
      <c r="O10" s="15">
        <f t="shared" si="5"/>
        <v>0</v>
      </c>
      <c r="R10" s="14">
        <f t="shared" si="6"/>
        <v>0</v>
      </c>
      <c r="S10" s="15">
        <f t="shared" si="7"/>
        <v>0</v>
      </c>
      <c r="U10" s="59">
        <f t="shared" si="8"/>
        <v>0</v>
      </c>
    </row>
    <row r="11" spans="1:21" x14ac:dyDescent="0.3">
      <c r="A11" s="11">
        <f>'Rain Fee'!A15</f>
        <v>4</v>
      </c>
      <c r="B11" s="12">
        <f>'Rain Fee'!B15</f>
        <v>0</v>
      </c>
      <c r="C11" s="13">
        <f>'Rain Fee'!X15</f>
        <v>0</v>
      </c>
      <c r="D11" s="14"/>
      <c r="E11" s="15">
        <f t="shared" si="0"/>
        <v>0</v>
      </c>
      <c r="F11" s="14"/>
      <c r="G11" s="15">
        <f t="shared" si="1"/>
        <v>0</v>
      </c>
      <c r="H11" s="14"/>
      <c r="I11" s="15">
        <f t="shared" si="2"/>
        <v>0</v>
      </c>
      <c r="J11" s="14"/>
      <c r="K11" s="15">
        <f t="shared" si="3"/>
        <v>0</v>
      </c>
      <c r="L11" s="14"/>
      <c r="M11" s="15">
        <f t="shared" si="4"/>
        <v>0</v>
      </c>
      <c r="N11" s="14"/>
      <c r="O11" s="15">
        <f t="shared" si="5"/>
        <v>0</v>
      </c>
      <c r="R11" s="14">
        <f t="shared" si="6"/>
        <v>0</v>
      </c>
      <c r="S11" s="15">
        <f t="shared" si="7"/>
        <v>0</v>
      </c>
      <c r="U11" s="59">
        <f t="shared" si="8"/>
        <v>0</v>
      </c>
    </row>
    <row r="12" spans="1:21" x14ac:dyDescent="0.3">
      <c r="A12" s="11">
        <f>'Rain Fee'!A16</f>
        <v>5</v>
      </c>
      <c r="B12" s="12">
        <f>'Rain Fee'!B16</f>
        <v>0</v>
      </c>
      <c r="C12" s="13">
        <f>'Rain Fee'!X16</f>
        <v>0</v>
      </c>
      <c r="D12" s="14"/>
      <c r="E12" s="15">
        <f t="shared" ref="E12:E17" si="9">+C12*(D12)</f>
        <v>0</v>
      </c>
      <c r="F12" s="14"/>
      <c r="G12" s="15">
        <f t="shared" ref="G12:G17" si="10">+C12*(F12)</f>
        <v>0</v>
      </c>
      <c r="H12" s="14"/>
      <c r="I12" s="15">
        <f t="shared" si="2"/>
        <v>0</v>
      </c>
      <c r="J12" s="14"/>
      <c r="K12" s="15">
        <f t="shared" si="3"/>
        <v>0</v>
      </c>
      <c r="L12" s="14"/>
      <c r="M12" s="15">
        <f t="shared" si="4"/>
        <v>0</v>
      </c>
      <c r="N12" s="14"/>
      <c r="O12" s="15">
        <f t="shared" si="5"/>
        <v>0</v>
      </c>
      <c r="R12" s="14">
        <f t="shared" si="6"/>
        <v>0</v>
      </c>
      <c r="S12" s="15">
        <f t="shared" si="7"/>
        <v>0</v>
      </c>
      <c r="U12" s="59">
        <f t="shared" si="8"/>
        <v>0</v>
      </c>
    </row>
    <row r="13" spans="1:21" x14ac:dyDescent="0.3">
      <c r="A13" s="11">
        <f>'Rain Fee'!A17</f>
        <v>6</v>
      </c>
      <c r="B13" s="12">
        <f>'Rain Fee'!B17</f>
        <v>0</v>
      </c>
      <c r="C13" s="13">
        <f>'Rain Fee'!X17</f>
        <v>0</v>
      </c>
      <c r="D13" s="14"/>
      <c r="E13" s="15">
        <f t="shared" si="9"/>
        <v>0</v>
      </c>
      <c r="F13" s="14"/>
      <c r="G13" s="15">
        <f t="shared" si="10"/>
        <v>0</v>
      </c>
      <c r="H13" s="14"/>
      <c r="I13" s="15">
        <f t="shared" si="2"/>
        <v>0</v>
      </c>
      <c r="J13" s="14"/>
      <c r="K13" s="15">
        <f t="shared" si="3"/>
        <v>0</v>
      </c>
      <c r="L13" s="14"/>
      <c r="M13" s="15">
        <f t="shared" si="4"/>
        <v>0</v>
      </c>
      <c r="N13" s="14"/>
      <c r="O13" s="15">
        <f t="shared" si="5"/>
        <v>0</v>
      </c>
      <c r="R13" s="14">
        <f t="shared" si="6"/>
        <v>0</v>
      </c>
      <c r="S13" s="15">
        <f t="shared" si="7"/>
        <v>0</v>
      </c>
      <c r="U13" s="59">
        <f t="shared" si="8"/>
        <v>0</v>
      </c>
    </row>
    <row r="14" spans="1:21" x14ac:dyDescent="0.3">
      <c r="A14" s="11">
        <f>'Rain Fee'!A18</f>
        <v>7</v>
      </c>
      <c r="B14" s="12">
        <f>'Rain Fee'!B18</f>
        <v>0</v>
      </c>
      <c r="C14" s="13">
        <f>'Rain Fee'!X18</f>
        <v>0</v>
      </c>
      <c r="D14" s="14"/>
      <c r="E14" s="15">
        <f t="shared" si="9"/>
        <v>0</v>
      </c>
      <c r="F14" s="14"/>
      <c r="G14" s="15">
        <f t="shared" si="10"/>
        <v>0</v>
      </c>
      <c r="H14" s="14"/>
      <c r="I14" s="15">
        <f t="shared" si="2"/>
        <v>0</v>
      </c>
      <c r="J14" s="14"/>
      <c r="K14" s="15">
        <f t="shared" si="3"/>
        <v>0</v>
      </c>
      <c r="L14" s="14"/>
      <c r="M14" s="15">
        <f t="shared" si="4"/>
        <v>0</v>
      </c>
      <c r="N14" s="14"/>
      <c r="O14" s="15">
        <f t="shared" si="5"/>
        <v>0</v>
      </c>
      <c r="R14" s="14">
        <f t="shared" si="6"/>
        <v>0</v>
      </c>
      <c r="S14" s="15">
        <f t="shared" si="7"/>
        <v>0</v>
      </c>
      <c r="U14" s="59">
        <f t="shared" si="8"/>
        <v>0</v>
      </c>
    </row>
    <row r="15" spans="1:21" x14ac:dyDescent="0.3">
      <c r="A15" s="11">
        <f>'Rain Fee'!A19</f>
        <v>8</v>
      </c>
      <c r="B15" s="12">
        <f>'Rain Fee'!B19</f>
        <v>0</v>
      </c>
      <c r="C15" s="13">
        <f>'Rain Fee'!X19</f>
        <v>0</v>
      </c>
      <c r="D15" s="14"/>
      <c r="E15" s="15">
        <f t="shared" si="9"/>
        <v>0</v>
      </c>
      <c r="F15" s="14"/>
      <c r="G15" s="15">
        <f t="shared" si="10"/>
        <v>0</v>
      </c>
      <c r="H15" s="14"/>
      <c r="I15" s="15">
        <f t="shared" si="2"/>
        <v>0</v>
      </c>
      <c r="J15" s="14"/>
      <c r="K15" s="15">
        <f t="shared" si="3"/>
        <v>0</v>
      </c>
      <c r="L15" s="14"/>
      <c r="M15" s="15">
        <f t="shared" si="4"/>
        <v>0</v>
      </c>
      <c r="N15" s="14"/>
      <c r="O15" s="15">
        <f t="shared" si="5"/>
        <v>0</v>
      </c>
      <c r="R15" s="14">
        <f t="shared" si="6"/>
        <v>0</v>
      </c>
      <c r="S15" s="15">
        <f t="shared" si="7"/>
        <v>0</v>
      </c>
      <c r="U15" s="59">
        <f t="shared" si="8"/>
        <v>0</v>
      </c>
    </row>
    <row r="16" spans="1:21" x14ac:dyDescent="0.3">
      <c r="A16" s="11">
        <f>'Rain Fee'!A20</f>
        <v>9</v>
      </c>
      <c r="B16" s="12">
        <f>'Rain Fee'!B20</f>
        <v>0</v>
      </c>
      <c r="C16" s="13">
        <f>'Rain Fee'!X20</f>
        <v>0</v>
      </c>
      <c r="D16" s="14"/>
      <c r="E16" s="15">
        <f t="shared" si="9"/>
        <v>0</v>
      </c>
      <c r="F16" s="14"/>
      <c r="G16" s="15">
        <f t="shared" si="10"/>
        <v>0</v>
      </c>
      <c r="H16" s="14"/>
      <c r="I16" s="15">
        <f t="shared" si="2"/>
        <v>0</v>
      </c>
      <c r="J16" s="14"/>
      <c r="K16" s="15">
        <f t="shared" si="3"/>
        <v>0</v>
      </c>
      <c r="L16" s="14"/>
      <c r="M16" s="15">
        <f t="shared" si="4"/>
        <v>0</v>
      </c>
      <c r="N16" s="14"/>
      <c r="O16" s="15">
        <f t="shared" si="5"/>
        <v>0</v>
      </c>
      <c r="R16" s="14">
        <f t="shared" si="6"/>
        <v>0</v>
      </c>
      <c r="S16" s="15">
        <f t="shared" si="7"/>
        <v>0</v>
      </c>
      <c r="U16" s="59">
        <f t="shared" si="8"/>
        <v>0</v>
      </c>
    </row>
    <row r="17" spans="1:21" x14ac:dyDescent="0.3">
      <c r="A17" s="11">
        <f>'Rain Fee'!A21</f>
        <v>10</v>
      </c>
      <c r="B17" s="12">
        <f>'Rain Fee'!B21</f>
        <v>0</v>
      </c>
      <c r="C17" s="13">
        <f>'Rain Fee'!X21</f>
        <v>0</v>
      </c>
      <c r="D17" s="14"/>
      <c r="E17" s="15">
        <f t="shared" si="9"/>
        <v>0</v>
      </c>
      <c r="F17" s="14"/>
      <c r="G17" s="15">
        <f t="shared" si="10"/>
        <v>0</v>
      </c>
      <c r="H17" s="14"/>
      <c r="I17" s="15">
        <f t="shared" si="2"/>
        <v>0</v>
      </c>
      <c r="J17" s="14"/>
      <c r="K17" s="15">
        <f t="shared" si="3"/>
        <v>0</v>
      </c>
      <c r="L17" s="14"/>
      <c r="M17" s="15">
        <f t="shared" si="4"/>
        <v>0</v>
      </c>
      <c r="N17" s="14"/>
      <c r="O17" s="15">
        <f t="shared" si="5"/>
        <v>0</v>
      </c>
      <c r="R17" s="14">
        <f t="shared" si="6"/>
        <v>0</v>
      </c>
      <c r="S17" s="15">
        <f t="shared" si="7"/>
        <v>0</v>
      </c>
      <c r="U17" s="59">
        <f t="shared" si="8"/>
        <v>0</v>
      </c>
    </row>
    <row r="18" spans="1:21" s="21" customFormat="1" ht="14.5" thickBot="1" x14ac:dyDescent="0.35">
      <c r="A18" s="16"/>
      <c r="B18" s="17" t="s">
        <v>35</v>
      </c>
      <c r="C18" s="18">
        <f>'Rain Fee'!X23</f>
        <v>0</v>
      </c>
      <c r="D18" s="19" t="s">
        <v>41</v>
      </c>
      <c r="E18" s="20">
        <f>SUM(E8:E17)</f>
        <v>0</v>
      </c>
      <c r="F18" s="19" t="s">
        <v>41</v>
      </c>
      <c r="G18" s="20">
        <f>SUM(G8:G17)</f>
        <v>0</v>
      </c>
      <c r="H18" s="19" t="s">
        <v>41</v>
      </c>
      <c r="I18" s="20">
        <f>SUM(I8:I17)</f>
        <v>0</v>
      </c>
      <c r="J18" s="19" t="s">
        <v>41</v>
      </c>
      <c r="K18" s="20">
        <f>SUM(K8:K17)</f>
        <v>0</v>
      </c>
      <c r="L18" s="19" t="s">
        <v>41</v>
      </c>
      <c r="M18" s="20">
        <f>SUM(M8:M17)</f>
        <v>0</v>
      </c>
      <c r="N18" s="19" t="s">
        <v>41</v>
      </c>
      <c r="O18" s="20">
        <f>SUM(O8:O17)</f>
        <v>0</v>
      </c>
      <c r="R18" s="19" t="s">
        <v>41</v>
      </c>
      <c r="S18" s="20">
        <f>SUM(S8:S17)</f>
        <v>0</v>
      </c>
    </row>
    <row r="22" spans="1:21" ht="20.5" thickBot="1" x14ac:dyDescent="0.45">
      <c r="B22" s="1" t="s">
        <v>36</v>
      </c>
    </row>
    <row r="23" spans="1:21" s="21" customFormat="1" ht="14.25" customHeight="1" x14ac:dyDescent="0.3">
      <c r="A23" s="62" t="s">
        <v>8</v>
      </c>
      <c r="B23" s="68"/>
      <c r="C23" s="70" t="s">
        <v>10</v>
      </c>
      <c r="D23" s="62" t="s">
        <v>43</v>
      </c>
      <c r="E23" s="63"/>
      <c r="F23" s="62" t="s">
        <v>43</v>
      </c>
      <c r="G23" s="63"/>
      <c r="H23" s="62" t="s">
        <v>43</v>
      </c>
      <c r="I23" s="63"/>
      <c r="J23" s="62" t="s">
        <v>43</v>
      </c>
      <c r="K23" s="63"/>
      <c r="L23" s="62" t="s">
        <v>43</v>
      </c>
      <c r="M23" s="63"/>
      <c r="N23" s="62" t="s">
        <v>43</v>
      </c>
      <c r="O23" s="63"/>
      <c r="R23" s="62" t="s">
        <v>39</v>
      </c>
      <c r="S23" s="63"/>
    </row>
    <row r="24" spans="1:21" s="21" customFormat="1" ht="14.25" customHeight="1" x14ac:dyDescent="0.3">
      <c r="A24" s="64"/>
      <c r="B24" s="69"/>
      <c r="C24" s="71"/>
      <c r="D24" s="64"/>
      <c r="E24" s="65"/>
      <c r="F24" s="64"/>
      <c r="G24" s="65"/>
      <c r="H24" s="64"/>
      <c r="I24" s="65"/>
      <c r="J24" s="64"/>
      <c r="K24" s="65"/>
      <c r="L24" s="64"/>
      <c r="M24" s="65"/>
      <c r="N24" s="64"/>
      <c r="O24" s="65"/>
      <c r="R24" s="64"/>
      <c r="S24" s="65"/>
    </row>
    <row r="25" spans="1:21" s="21" customFormat="1" ht="14.25" customHeight="1" thickBot="1" x14ac:dyDescent="0.35">
      <c r="A25" s="64"/>
      <c r="B25" s="69"/>
      <c r="C25" s="72"/>
      <c r="D25" s="66"/>
      <c r="E25" s="67"/>
      <c r="F25" s="66"/>
      <c r="G25" s="67"/>
      <c r="H25" s="66"/>
      <c r="I25" s="67"/>
      <c r="J25" s="66"/>
      <c r="K25" s="67"/>
      <c r="L25" s="66"/>
      <c r="M25" s="67"/>
      <c r="N25" s="66"/>
      <c r="O25" s="67"/>
      <c r="R25" s="66"/>
      <c r="S25" s="67"/>
    </row>
    <row r="26" spans="1:21" s="21" customFormat="1" x14ac:dyDescent="0.3">
      <c r="A26" s="22" t="s">
        <v>28</v>
      </c>
      <c r="B26" s="23" t="s">
        <v>29</v>
      </c>
      <c r="C26" s="7" t="s">
        <v>32</v>
      </c>
      <c r="D26" s="8" t="s">
        <v>40</v>
      </c>
      <c r="E26" s="9" t="s">
        <v>41</v>
      </c>
      <c r="F26" s="8" t="s">
        <v>40</v>
      </c>
      <c r="G26" s="9" t="s">
        <v>41</v>
      </c>
      <c r="H26" s="8" t="s">
        <v>40</v>
      </c>
      <c r="I26" s="9" t="s">
        <v>41</v>
      </c>
      <c r="J26" s="8" t="s">
        <v>40</v>
      </c>
      <c r="K26" s="9" t="s">
        <v>41</v>
      </c>
      <c r="L26" s="8" t="s">
        <v>40</v>
      </c>
      <c r="M26" s="9" t="s">
        <v>41</v>
      </c>
      <c r="N26" s="8" t="s">
        <v>40</v>
      </c>
      <c r="O26" s="9" t="s">
        <v>41</v>
      </c>
      <c r="R26" s="8" t="s">
        <v>40</v>
      </c>
      <c r="S26" s="10" t="s">
        <v>41</v>
      </c>
    </row>
    <row r="27" spans="1:21" x14ac:dyDescent="0.3">
      <c r="A27" s="11">
        <f>'Rain Fee'!A35</f>
        <v>1</v>
      </c>
      <c r="B27" s="12" t="str">
        <f>'Rain Fee'!B35</f>
        <v>INSERT TASK HERE</v>
      </c>
      <c r="C27" s="24">
        <f>'Rain Fee'!X35</f>
        <v>0</v>
      </c>
      <c r="D27" s="25"/>
      <c r="E27" s="15">
        <f>+C27*(D27)</f>
        <v>0</v>
      </c>
      <c r="F27" s="25"/>
      <c r="G27" s="15">
        <f>+E27*(F27)</f>
        <v>0</v>
      </c>
      <c r="H27" s="25"/>
      <c r="I27" s="15">
        <f>+G27*(H27)</f>
        <v>0</v>
      </c>
      <c r="J27" s="25"/>
      <c r="K27" s="15">
        <f>+I27*(J27)</f>
        <v>0</v>
      </c>
      <c r="L27" s="25"/>
      <c r="M27" s="15">
        <f>+K27*(L27)</f>
        <v>0</v>
      </c>
      <c r="N27" s="25"/>
      <c r="O27" s="15">
        <f>+M27*(N27)</f>
        <v>0</v>
      </c>
      <c r="R27" s="14">
        <f t="shared" ref="R27" si="11">D27+F27+H27+J27+L27+N27</f>
        <v>0</v>
      </c>
      <c r="S27" s="15">
        <f t="shared" ref="S27" si="12">E27+G27+I27+K27+M27+O27</f>
        <v>0</v>
      </c>
    </row>
    <row r="28" spans="1:21" x14ac:dyDescent="0.3">
      <c r="A28" s="11">
        <f>'Rain Fee'!A36</f>
        <v>2</v>
      </c>
      <c r="B28" s="12">
        <f>'Rain Fee'!B36</f>
        <v>0</v>
      </c>
      <c r="C28" s="24">
        <f>'Rain Fee'!X36</f>
        <v>0</v>
      </c>
      <c r="D28" s="26"/>
      <c r="E28" s="15">
        <f t="shared" ref="E28:E31" si="13">+C28*(D28)</f>
        <v>0</v>
      </c>
      <c r="F28" s="26"/>
      <c r="G28" s="15">
        <f t="shared" ref="G28:G31" si="14">+E28*(F28)</f>
        <v>0</v>
      </c>
      <c r="H28" s="26"/>
      <c r="I28" s="15">
        <f t="shared" ref="I28:I31" si="15">+G28*(H28)</f>
        <v>0</v>
      </c>
      <c r="J28" s="26"/>
      <c r="K28" s="15">
        <f t="shared" ref="K28:K31" si="16">+I28*(J28)</f>
        <v>0</v>
      </c>
      <c r="L28" s="26"/>
      <c r="M28" s="15">
        <f t="shared" ref="M28:M31" si="17">+K28*(L28)</f>
        <v>0</v>
      </c>
      <c r="N28" s="26"/>
      <c r="O28" s="15">
        <f t="shared" ref="O28:O31" si="18">+M28*(N28)</f>
        <v>0</v>
      </c>
      <c r="R28" s="14">
        <f t="shared" ref="R28:R31" si="19">D28+F28+H28+J28+L28+N28</f>
        <v>0</v>
      </c>
      <c r="S28" s="15">
        <f t="shared" ref="S28:S31" si="20">E28+G28+I28+K28+M28+O28</f>
        <v>0</v>
      </c>
    </row>
    <row r="29" spans="1:21" x14ac:dyDescent="0.3">
      <c r="A29" s="11">
        <f>'Rain Fee'!A37</f>
        <v>3</v>
      </c>
      <c r="B29" s="12">
        <f>'Rain Fee'!B37</f>
        <v>0</v>
      </c>
      <c r="C29" s="24">
        <f>'Rain Fee'!X37</f>
        <v>0</v>
      </c>
      <c r="D29" s="26"/>
      <c r="E29" s="15">
        <f t="shared" si="13"/>
        <v>0</v>
      </c>
      <c r="F29" s="26"/>
      <c r="G29" s="15">
        <f t="shared" si="14"/>
        <v>0</v>
      </c>
      <c r="H29" s="26"/>
      <c r="I29" s="15">
        <f t="shared" si="15"/>
        <v>0</v>
      </c>
      <c r="J29" s="26"/>
      <c r="K29" s="15">
        <f t="shared" si="16"/>
        <v>0</v>
      </c>
      <c r="L29" s="26"/>
      <c r="M29" s="15">
        <f t="shared" si="17"/>
        <v>0</v>
      </c>
      <c r="N29" s="26"/>
      <c r="O29" s="15">
        <f t="shared" si="18"/>
        <v>0</v>
      </c>
      <c r="R29" s="14">
        <f t="shared" si="19"/>
        <v>0</v>
      </c>
      <c r="S29" s="15">
        <f t="shared" si="20"/>
        <v>0</v>
      </c>
    </row>
    <row r="30" spans="1:21" x14ac:dyDescent="0.3">
      <c r="A30" s="11">
        <f>'Rain Fee'!A38</f>
        <v>4</v>
      </c>
      <c r="B30" s="12">
        <f>'Rain Fee'!B38</f>
        <v>0</v>
      </c>
      <c r="C30" s="24">
        <f>'Rain Fee'!X38</f>
        <v>0</v>
      </c>
      <c r="D30" s="26"/>
      <c r="E30" s="15">
        <f t="shared" si="13"/>
        <v>0</v>
      </c>
      <c r="F30" s="26"/>
      <c r="G30" s="15">
        <f t="shared" si="14"/>
        <v>0</v>
      </c>
      <c r="H30" s="26"/>
      <c r="I30" s="15">
        <f t="shared" si="15"/>
        <v>0</v>
      </c>
      <c r="J30" s="26"/>
      <c r="K30" s="15">
        <f t="shared" si="16"/>
        <v>0</v>
      </c>
      <c r="L30" s="26"/>
      <c r="M30" s="15">
        <f t="shared" si="17"/>
        <v>0</v>
      </c>
      <c r="N30" s="26"/>
      <c r="O30" s="15">
        <f t="shared" si="18"/>
        <v>0</v>
      </c>
      <c r="R30" s="14">
        <f t="shared" si="19"/>
        <v>0</v>
      </c>
      <c r="S30" s="15">
        <f t="shared" si="20"/>
        <v>0</v>
      </c>
    </row>
    <row r="31" spans="1:21" x14ac:dyDescent="0.3">
      <c r="A31" s="11">
        <f>'Rain Fee'!A39</f>
        <v>5</v>
      </c>
      <c r="B31" s="12">
        <f>'Rain Fee'!B39</f>
        <v>0</v>
      </c>
      <c r="C31" s="24">
        <f>'Rain Fee'!X39</f>
        <v>0</v>
      </c>
      <c r="D31" s="26"/>
      <c r="E31" s="15">
        <f t="shared" si="13"/>
        <v>0</v>
      </c>
      <c r="F31" s="26"/>
      <c r="G31" s="15">
        <f t="shared" si="14"/>
        <v>0</v>
      </c>
      <c r="H31" s="26"/>
      <c r="I31" s="15">
        <f t="shared" si="15"/>
        <v>0</v>
      </c>
      <c r="J31" s="26"/>
      <c r="K31" s="15">
        <f t="shared" si="16"/>
        <v>0</v>
      </c>
      <c r="L31" s="26"/>
      <c r="M31" s="15">
        <f t="shared" si="17"/>
        <v>0</v>
      </c>
      <c r="N31" s="26"/>
      <c r="O31" s="15">
        <f t="shared" si="18"/>
        <v>0</v>
      </c>
      <c r="R31" s="14">
        <f t="shared" si="19"/>
        <v>0</v>
      </c>
      <c r="S31" s="15">
        <f t="shared" si="20"/>
        <v>0</v>
      </c>
    </row>
    <row r="32" spans="1:21" s="21" customFormat="1" ht="14.5" thickBot="1" x14ac:dyDescent="0.35">
      <c r="A32" s="16"/>
      <c r="B32" s="17" t="s">
        <v>35</v>
      </c>
      <c r="C32" s="18">
        <f>'Rain Fee'!X41</f>
        <v>0</v>
      </c>
      <c r="D32" s="19" t="s">
        <v>41</v>
      </c>
      <c r="E32" s="20">
        <f>SUM(E27:E31)</f>
        <v>0</v>
      </c>
      <c r="F32" s="19" t="s">
        <v>41</v>
      </c>
      <c r="G32" s="20">
        <f>SUM(G27:G31)</f>
        <v>0</v>
      </c>
      <c r="H32" s="19" t="s">
        <v>41</v>
      </c>
      <c r="I32" s="20">
        <f>SUM(I27:I31)</f>
        <v>0</v>
      </c>
      <c r="J32" s="19" t="s">
        <v>41</v>
      </c>
      <c r="K32" s="20">
        <f>SUM(K27:K31)</f>
        <v>0</v>
      </c>
      <c r="L32" s="19" t="s">
        <v>41</v>
      </c>
      <c r="M32" s="20">
        <f>SUM(M27:M31)</f>
        <v>0</v>
      </c>
      <c r="N32" s="19" t="s">
        <v>41</v>
      </c>
      <c r="O32" s="20">
        <f>SUM(O27:O31)</f>
        <v>0</v>
      </c>
      <c r="R32" s="19" t="s">
        <v>41</v>
      </c>
      <c r="S32" s="20">
        <f>SUM(S27:S31)</f>
        <v>0</v>
      </c>
    </row>
  </sheetData>
  <mergeCells count="18">
    <mergeCell ref="R23:S25"/>
    <mergeCell ref="A4:B6"/>
    <mergeCell ref="C4:C6"/>
    <mergeCell ref="D4:E6"/>
    <mergeCell ref="F4:G6"/>
    <mergeCell ref="R4:S6"/>
    <mergeCell ref="F23:G25"/>
    <mergeCell ref="H4:I6"/>
    <mergeCell ref="H23:I25"/>
    <mergeCell ref="J4:K6"/>
    <mergeCell ref="J23:K25"/>
    <mergeCell ref="L4:M6"/>
    <mergeCell ref="L23:M25"/>
    <mergeCell ref="N4:O6"/>
    <mergeCell ref="N23:O25"/>
    <mergeCell ref="A23:B25"/>
    <mergeCell ref="C23:C25"/>
    <mergeCell ref="D23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E670-6519-4B82-BE45-287D5A904443}">
  <dimension ref="A1:F9"/>
  <sheetViews>
    <sheetView workbookViewId="0">
      <selection activeCell="C3" sqref="C3"/>
    </sheetView>
  </sheetViews>
  <sheetFormatPr defaultColWidth="9.1796875" defaultRowHeight="14" x14ac:dyDescent="0.3"/>
  <cols>
    <col min="1" max="1" width="5.7265625" style="2" bestFit="1" customWidth="1"/>
    <col min="2" max="2" width="29.453125" style="2" bestFit="1" customWidth="1"/>
    <col min="3" max="3" width="14.1796875" style="4" customWidth="1"/>
    <col min="4" max="4" width="16.1796875" style="2" bestFit="1" customWidth="1"/>
    <col min="5" max="5" width="12.7265625" style="2" customWidth="1"/>
    <col min="6" max="6" width="13.54296875" style="2" customWidth="1"/>
    <col min="7" max="16384" width="9.1796875" style="2"/>
  </cols>
  <sheetData>
    <row r="1" spans="1:6" ht="20" x14ac:dyDescent="0.4">
      <c r="B1" s="1" t="s">
        <v>44</v>
      </c>
      <c r="C1" s="46" t="s">
        <v>45</v>
      </c>
      <c r="D1" s="1"/>
    </row>
    <row r="3" spans="1:6" x14ac:dyDescent="0.3">
      <c r="A3" s="86" t="s">
        <v>46</v>
      </c>
      <c r="B3" s="87"/>
      <c r="C3" s="47" t="s">
        <v>47</v>
      </c>
      <c r="D3" s="48" t="s">
        <v>48</v>
      </c>
      <c r="E3" s="48" t="s">
        <v>48</v>
      </c>
      <c r="F3" s="48" t="s">
        <v>48</v>
      </c>
    </row>
    <row r="4" spans="1:6" x14ac:dyDescent="0.3">
      <c r="A4" s="22" t="s">
        <v>28</v>
      </c>
      <c r="B4" s="49" t="s">
        <v>29</v>
      </c>
      <c r="C4" s="50" t="s">
        <v>45</v>
      </c>
      <c r="D4" s="51" t="s">
        <v>45</v>
      </c>
      <c r="E4" s="51" t="s">
        <v>45</v>
      </c>
      <c r="F4" s="51" t="s">
        <v>45</v>
      </c>
    </row>
    <row r="5" spans="1:6" x14ac:dyDescent="0.3">
      <c r="A5" s="52">
        <v>1</v>
      </c>
      <c r="B5" s="53"/>
      <c r="C5" s="54"/>
      <c r="D5" s="55"/>
      <c r="E5" s="55"/>
      <c r="F5" s="55"/>
    </row>
    <row r="6" spans="1:6" x14ac:dyDescent="0.3">
      <c r="A6" s="52">
        <v>2</v>
      </c>
      <c r="B6" s="53"/>
      <c r="C6" s="54"/>
      <c r="D6" s="55"/>
      <c r="E6" s="55"/>
      <c r="F6" s="55"/>
    </row>
    <row r="7" spans="1:6" x14ac:dyDescent="0.3">
      <c r="A7" s="52">
        <v>3</v>
      </c>
      <c r="B7" s="53"/>
      <c r="C7" s="54"/>
      <c r="D7" s="55"/>
      <c r="E7" s="55"/>
      <c r="F7" s="55"/>
    </row>
    <row r="8" spans="1:6" x14ac:dyDescent="0.3">
      <c r="A8" s="52">
        <v>4</v>
      </c>
      <c r="B8" s="53"/>
      <c r="C8" s="54"/>
      <c r="D8" s="55"/>
      <c r="E8" s="55"/>
      <c r="F8" s="55"/>
    </row>
    <row r="9" spans="1:6" x14ac:dyDescent="0.3">
      <c r="A9" s="16"/>
      <c r="B9" s="56" t="s">
        <v>49</v>
      </c>
      <c r="C9" s="57">
        <f>SUM(C4:C8)</f>
        <v>0</v>
      </c>
      <c r="D9" s="57">
        <f>SUM(D4:D8)</f>
        <v>0</v>
      </c>
      <c r="E9" s="57">
        <f>SUM(E4:E8)</f>
        <v>0</v>
      </c>
      <c r="F9" s="57">
        <f>SUM(F4:F8)</f>
        <v>0</v>
      </c>
    </row>
  </sheetData>
  <mergeCells count="1">
    <mergeCell ref="A3:B3"/>
  </mergeCells>
  <conditionalFormatting sqref="D5:F8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Rain Fee</vt:lpstr>
      <vt:lpstr>Invoicing</vt:lpstr>
      <vt:lpstr>Sub-Consultant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2024-05-14T12:02:16Z</dcterms:created>
  <dcterms:modified xsi:type="dcterms:W3CDTF">2026-06-25T11:03:28Z</dcterms:modified>
  <cp:category/>
  <cp:contentStatus/>
</cp:coreProperties>
</file>